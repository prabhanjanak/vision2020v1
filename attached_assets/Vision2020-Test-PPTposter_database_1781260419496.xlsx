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findia-my.sharepoint.com/personal/senthilraja_sankaraeye_com/Documents/"/>
    </mc:Choice>
  </mc:AlternateContent>
  <xr:revisionPtr revIDLastSave="0" documentId="8_{A46B2FB6-CBF0-4F9C-8B8F-85F7CC59AFDF}" xr6:coauthVersionLast="47" xr6:coauthVersionMax="47" xr10:uidLastSave="{00000000-0000-0000-0000-000000000000}"/>
  <bookViews>
    <workbookView xWindow="-110" yWindow="-110" windowWidth="19420" windowHeight="10300" xr2:uid="{F0EB13C4-AE0E-45BA-A8E3-3FD014383FC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621" i="1" l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<sst xmlns="http://schemas.openxmlformats.org/spreadsheetml/2006/main" count="3554" uniqueCount="880">
  <si>
    <t>Sr. No</t>
  </si>
  <si>
    <t>Poster / Paper No</t>
  </si>
  <si>
    <t>Name</t>
  </si>
  <si>
    <t>Hospital Name</t>
  </si>
  <si>
    <t>Role (Chair/Co-Chair/Moderator/
Panellist/Speaker)</t>
  </si>
  <si>
    <t>Session name</t>
  </si>
  <si>
    <t>Day</t>
  </si>
  <si>
    <t>Track number</t>
  </si>
  <si>
    <t>Time</t>
  </si>
  <si>
    <t>Tittle</t>
  </si>
  <si>
    <t>Subeesh Kuyyadiyil</t>
  </si>
  <si>
    <t>Sadguru Netra Chikitsalaya (SNC) - Chitrakoot</t>
  </si>
  <si>
    <t>Speaker</t>
  </si>
  <si>
    <t>Digital Platforms for eye care: community to tertiary care</t>
  </si>
  <si>
    <t>Track 1</t>
  </si>
  <si>
    <t>Senthilraja</t>
  </si>
  <si>
    <t>Sankara Eye Foundation, India</t>
  </si>
  <si>
    <t>Shyamanta Bijoy Neog</t>
  </si>
  <si>
    <t>Dr Shroff's Charity Eye Hospital</t>
  </si>
  <si>
    <t>Sudhir RR</t>
  </si>
  <si>
    <t>Sankara Netralaya</t>
  </si>
  <si>
    <t>Rahul Kumar</t>
  </si>
  <si>
    <t>Orbis</t>
  </si>
  <si>
    <t>Sabitra Kundu</t>
  </si>
  <si>
    <t>Mission For Vision</t>
  </si>
  <si>
    <t>Chair</t>
  </si>
  <si>
    <t>Moderator</t>
  </si>
  <si>
    <t>Kannan</t>
  </si>
  <si>
    <t>Appasamy Associates</t>
  </si>
  <si>
    <t>Enablers for innovation</t>
  </si>
  <si>
    <t>Niranjan Kumar</t>
  </si>
  <si>
    <t>LVPEI</t>
  </si>
  <si>
    <t>Heidi Chase</t>
  </si>
  <si>
    <t>Seva Foundation</t>
  </si>
  <si>
    <t>Praveen Vashisht</t>
  </si>
  <si>
    <t>RP Centre AIIMS</t>
  </si>
  <si>
    <t>Katie MacMillan</t>
  </si>
  <si>
    <t>Rishi Borah</t>
  </si>
  <si>
    <t>Dhivya Ramasamy</t>
  </si>
  <si>
    <t>Aravind Eye Hospital</t>
  </si>
  <si>
    <t>Kuldeep Singh</t>
  </si>
  <si>
    <t>Anusha</t>
  </si>
  <si>
    <t>Remidio</t>
  </si>
  <si>
    <t xml:space="preserve">AI and innovations at Community and Primary Level </t>
  </si>
  <si>
    <t>Mohammad Gowth</t>
  </si>
  <si>
    <t xml:space="preserve">Debananda Padhy </t>
  </si>
  <si>
    <t>Tridip Puzari</t>
  </si>
  <si>
    <t>CT University</t>
  </si>
  <si>
    <t>Parikshit Gogate</t>
  </si>
  <si>
    <t>Community Eye Care Foundation</t>
  </si>
  <si>
    <t>Radhika Krishnan</t>
  </si>
  <si>
    <t>Shantilal Sanghvi Eye Institute</t>
  </si>
  <si>
    <t>Sumitha Muthu</t>
  </si>
  <si>
    <t>Narayana Nethralaya</t>
  </si>
  <si>
    <t>Innovation in Myopia control</t>
  </si>
  <si>
    <t>Kunal Srivastava</t>
  </si>
  <si>
    <t>Essilor Luxottica</t>
  </si>
  <si>
    <t>Radhika Francis</t>
  </si>
  <si>
    <t>Elizabeth Kurian</t>
  </si>
  <si>
    <t>Shajan Adolph</t>
  </si>
  <si>
    <t>Roche</t>
  </si>
  <si>
    <t>TBC</t>
  </si>
  <si>
    <t>Innovation in screening programs (EMERGING EYE DISEASES)</t>
  </si>
  <si>
    <t>Anand</t>
  </si>
  <si>
    <t>Sourav Pal</t>
  </si>
  <si>
    <t>Forus Health Pvt. Ltd.</t>
  </si>
  <si>
    <t>Venkatakrishnan</t>
  </si>
  <si>
    <t>Charuta J Puranik</t>
  </si>
  <si>
    <t>Sujay Eye Hospital</t>
  </si>
  <si>
    <t>Bhargavi Murali</t>
  </si>
  <si>
    <t>Vittala International Institute Of Ophthalmology</t>
  </si>
  <si>
    <t>Sumit Grover</t>
  </si>
  <si>
    <t>Kuldeep Dole</t>
  </si>
  <si>
    <t>HV Desai Eye Hospital</t>
  </si>
  <si>
    <t>Padma Paul</t>
  </si>
  <si>
    <t>CMC Vellore</t>
  </si>
  <si>
    <t>Aaron Basaiawmoit</t>
  </si>
  <si>
    <t>Bansara Eye care</t>
  </si>
  <si>
    <t>Innovations for Universal eye health</t>
  </si>
  <si>
    <t>Franklin Daniel</t>
  </si>
  <si>
    <t>Birendra Pratap Singh</t>
  </si>
  <si>
    <t>Padmaja</t>
  </si>
  <si>
    <t>Dinesh Chandra</t>
  </si>
  <si>
    <t>Uday Gajiwala</t>
  </si>
  <si>
    <t>Divyajyoti Trust</t>
  </si>
  <si>
    <t>Pankaj Vishwakarma</t>
  </si>
  <si>
    <t>Co-chair</t>
  </si>
  <si>
    <t>Das T P</t>
  </si>
  <si>
    <t>India Eye Health Strategy for 2030 In Sight-innovations required</t>
  </si>
  <si>
    <t>Umang Mathur</t>
  </si>
  <si>
    <t>Rohit Khanna</t>
  </si>
  <si>
    <t>Shalinder Sabherwal</t>
  </si>
  <si>
    <t>Panelist</t>
  </si>
  <si>
    <t>Rajesh Saini</t>
  </si>
  <si>
    <t>Siliguri Greater Lions Eye Hospital</t>
  </si>
  <si>
    <t>Arun Acharya</t>
  </si>
  <si>
    <t xml:space="preserve">Innovations in training </t>
  </si>
  <si>
    <t>Prachi Aggarwal</t>
  </si>
  <si>
    <t>Suneeta Dubey</t>
  </si>
  <si>
    <t>Ujjal Dutta</t>
  </si>
  <si>
    <t>Use of AI and tech based innovations in Eye care- secondary and tertiary level</t>
  </si>
  <si>
    <t>Deepa Krishnan</t>
  </si>
  <si>
    <t>Bharath Balasubramaniam</t>
  </si>
  <si>
    <t>Kaushik Murali</t>
  </si>
  <si>
    <t>Vikharnan R.</t>
  </si>
  <si>
    <t>Aurolab Foundation</t>
  </si>
  <si>
    <t>Rajani G N</t>
  </si>
  <si>
    <t>NPCBVI</t>
  </si>
  <si>
    <t>Public–Private Partnerships (PPP) for Universal Eye Health</t>
  </si>
  <si>
    <t>Track 2</t>
  </si>
  <si>
    <t>Sourabh Prasad Behera</t>
  </si>
  <si>
    <t>Trilochan Netralaya</t>
  </si>
  <si>
    <t>Bhushan Punani</t>
  </si>
  <si>
    <t>Blind Peoples Association</t>
  </si>
  <si>
    <t>Sarangadhar Samal</t>
  </si>
  <si>
    <t>Kalinga Eye Hospital</t>
  </si>
  <si>
    <t>Uma Bharathi Vunnam</t>
  </si>
  <si>
    <t>Nandini Rawal</t>
  </si>
  <si>
    <t>Community Engagement and Grassroots Collaboration</t>
  </si>
  <si>
    <t>Mission for Vision</t>
  </si>
  <si>
    <t xml:space="preserve">Anand </t>
  </si>
  <si>
    <t>NVJK</t>
  </si>
  <si>
    <t>Anika Amritanand</t>
  </si>
  <si>
    <t>Rohan Chariwala</t>
  </si>
  <si>
    <t>Shubham Netraseva trust</t>
  </si>
  <si>
    <t>Sibaprasad Sahoo</t>
  </si>
  <si>
    <t>Meenakshi Sundaram R</t>
  </si>
  <si>
    <t>International Collaboration and Global Best Practices</t>
  </si>
  <si>
    <t>GV Rao</t>
  </si>
  <si>
    <t>Tulsi Eye Hospital</t>
  </si>
  <si>
    <t>Sindhu Nandini Sahoo</t>
  </si>
  <si>
    <t>Akbar Mehfuz Alam</t>
  </si>
  <si>
    <t>Sightsavers India</t>
  </si>
  <si>
    <t>Dr. Col. M. Deshpande</t>
  </si>
  <si>
    <t/>
  </si>
  <si>
    <t>Elesh Jain</t>
  </si>
  <si>
    <t>Building Sustainable Eye Care Alliances for Universal Coverage</t>
  </si>
  <si>
    <t>Aparnaa Chandrasekhar</t>
  </si>
  <si>
    <t>Sheethal Sasi</t>
  </si>
  <si>
    <t>Jatin Tiwari</t>
  </si>
  <si>
    <t>Multi-Sectoral Collaboration for Eye Health Integration</t>
  </si>
  <si>
    <t>Dharmendra Jena</t>
  </si>
  <si>
    <t>Shradha Nitnaware</t>
  </si>
  <si>
    <t xml:space="preserve">Lopamudra Sanyal </t>
  </si>
  <si>
    <t>Cure Blindness Project</t>
  </si>
  <si>
    <t>Sunil Kumar Mishra</t>
  </si>
  <si>
    <t>Saishree Eye Hospital</t>
  </si>
  <si>
    <t>Role of Corporate Social Responsibility (CSR) in Universal Eye Care</t>
  </si>
  <si>
    <t>Rakhi Nathawat</t>
  </si>
  <si>
    <t>Arnab Sarkar</t>
  </si>
  <si>
    <t>Akhand Jyoti Eye Hospital</t>
  </si>
  <si>
    <t>Rahul Deshpande</t>
  </si>
  <si>
    <t>Asim Sil</t>
  </si>
  <si>
    <t>Vivekananda Mission Ashram</t>
  </si>
  <si>
    <t>Mohanty R N</t>
  </si>
  <si>
    <t>Academic and Research Collaboration in Eye Care Innovation</t>
  </si>
  <si>
    <t>Mission For vision</t>
  </si>
  <si>
    <t>Anant Sahoo</t>
  </si>
  <si>
    <t>Nirav Mehta</t>
  </si>
  <si>
    <t>Rotary Eye Institute</t>
  </si>
  <si>
    <t>Digital Collaboration and Tele-Ophthalmology Networks</t>
  </si>
  <si>
    <t xml:space="preserve">Ganesh Babu </t>
  </si>
  <si>
    <t>Amrit Kumar</t>
  </si>
  <si>
    <t>Affiliation Indian School of Business Deloitte</t>
  </si>
  <si>
    <t xml:space="preserve">Venugopal KV </t>
  </si>
  <si>
    <t>Sankar Foundation Eye Hospital, Visakhapatnam</t>
  </si>
  <si>
    <t>Transforming Vision care through Measurable Impact</t>
  </si>
  <si>
    <t>Track 3</t>
  </si>
  <si>
    <t>Sathish Nagappan</t>
  </si>
  <si>
    <t>CBM</t>
  </si>
  <si>
    <t>Little Flower Hospital &amp; Research Centre</t>
  </si>
  <si>
    <t>Shubham Netraseva Trust</t>
  </si>
  <si>
    <t xml:space="preserve">Anand Vinekar </t>
  </si>
  <si>
    <t>Community impact of ROP screening initiatives</t>
  </si>
  <si>
    <t xml:space="preserve">Sucheta Kulkarni </t>
  </si>
  <si>
    <t xml:space="preserve">Usha Rani </t>
  </si>
  <si>
    <t>Cognizant Foundation</t>
  </si>
  <si>
    <t xml:space="preserve">Tapas </t>
  </si>
  <si>
    <t>KMK Rajendran</t>
  </si>
  <si>
    <t xml:space="preserve">Shalini </t>
  </si>
  <si>
    <t xml:space="preserve">Vishal </t>
  </si>
  <si>
    <t>Pushpagiri Eye Foundation</t>
  </si>
  <si>
    <t>Rana B K</t>
  </si>
  <si>
    <t>Quality &amp; Accredition Institute</t>
  </si>
  <si>
    <t>Accredition and Standardisation in eyecare</t>
  </si>
  <si>
    <t>Harpreet Kapoor</t>
  </si>
  <si>
    <t>Joseph Mollah</t>
  </si>
  <si>
    <t>Samina Zamindar</t>
  </si>
  <si>
    <t>Zamindar Microsurgical Eye Centre</t>
  </si>
  <si>
    <t>Improving eyecare through Quality &amp; Patient safety</t>
  </si>
  <si>
    <t xml:space="preserve">Ashi Khurana </t>
  </si>
  <si>
    <t>CL Gupta Eye Institute</t>
  </si>
  <si>
    <t>Geeta Fulari</t>
  </si>
  <si>
    <t>Uday Kumar</t>
  </si>
  <si>
    <t xml:space="preserve">Seran </t>
  </si>
  <si>
    <t>Ajit Kumar Poddar</t>
  </si>
  <si>
    <t>Impact of eyecare in achieving Universal eyehealth</t>
  </si>
  <si>
    <t>Vinoth Kumar</t>
  </si>
  <si>
    <t>Venkatasubramaniam</t>
  </si>
  <si>
    <t>Rangalakshmii Netralaya</t>
  </si>
  <si>
    <t>Aruldoss Jachin David Williams</t>
  </si>
  <si>
    <t>Gaurangi Kolzarkar</t>
  </si>
  <si>
    <t>Mission for vision</t>
  </si>
  <si>
    <t>Jyotsna Sharma</t>
  </si>
  <si>
    <t>Sustainable eyecare practices : Innovation, efficiency and impact</t>
  </si>
  <si>
    <t>Vengaedesan</t>
  </si>
  <si>
    <t>Manoj Edakatil</t>
  </si>
  <si>
    <t>Empowering eye health: Strategies for disability inclusion and rehabilitation</t>
  </si>
  <si>
    <t>Sony Thomas</t>
  </si>
  <si>
    <t>R P Centre AIIMS</t>
  </si>
  <si>
    <t>Deepti Shabang</t>
  </si>
  <si>
    <t>St. John`s Medical College</t>
  </si>
  <si>
    <t>Ravi Ranganathan</t>
  </si>
  <si>
    <t>Warp-up</t>
  </si>
  <si>
    <t>Advancing equity in eye health: Leave no one behind</t>
  </si>
  <si>
    <t>Rupali Chopra</t>
  </si>
  <si>
    <t>CMC Ludhiana</t>
  </si>
  <si>
    <t>Prathibha Obed</t>
  </si>
  <si>
    <t>Sangeeta Lavaniya</t>
  </si>
  <si>
    <t>Financial sustainability in Ophthalmic services</t>
  </si>
  <si>
    <t>Kushal Dharmani</t>
  </si>
  <si>
    <t>Sewa Sadan Eye Hospital</t>
  </si>
  <si>
    <t>Deepak Singh</t>
  </si>
  <si>
    <t>Anji</t>
  </si>
  <si>
    <t>Prem Kumar Singh</t>
  </si>
  <si>
    <t>Krishna Kumar</t>
  </si>
  <si>
    <t>NCAHP</t>
  </si>
  <si>
    <t>Transforming Optometry in India – Policy &amp; NCAHP Role</t>
  </si>
  <si>
    <t>Track 4</t>
  </si>
  <si>
    <t>Anuradha Narayan</t>
  </si>
  <si>
    <t>Elite School of Optometry Sankara Netralaya</t>
  </si>
  <si>
    <t>Namratha Hegde</t>
  </si>
  <si>
    <t>Aditya Goyal</t>
  </si>
  <si>
    <t>Career Pathways in Optometry: Clinical, Academic, Corporate &amp; Interdisciplinary Opportunities</t>
  </si>
  <si>
    <t>Lakshmi Shinde</t>
  </si>
  <si>
    <t>Optometry Confederation of India</t>
  </si>
  <si>
    <t>Sebin C Sebastian</t>
  </si>
  <si>
    <t>Diwakar Rao</t>
  </si>
  <si>
    <t>Hari Jyot College of Optometry</t>
  </si>
  <si>
    <t xml:space="preserve">Anuradha N </t>
  </si>
  <si>
    <t>Community Optometry: Scope, Sustainability &amp; Ethical Practices</t>
  </si>
  <si>
    <t>Vandana Kamath</t>
  </si>
  <si>
    <t>Gulafsha Parveen</t>
  </si>
  <si>
    <t>Paula Mukharjee</t>
  </si>
  <si>
    <t>Abhisek Kalbarga</t>
  </si>
  <si>
    <t>India Vision Institute</t>
  </si>
  <si>
    <t>Devarakonda Subramanyam</t>
  </si>
  <si>
    <t>Gomabai Netralaya</t>
  </si>
  <si>
    <t>Paromita Mondal</t>
  </si>
  <si>
    <t>N Anuradha</t>
  </si>
  <si>
    <t>Parul Dutta</t>
  </si>
  <si>
    <t>Impact of AOP courses- Organizations Running and Supporting Courses</t>
  </si>
  <si>
    <t>Nidhi Jamwal</t>
  </si>
  <si>
    <t>Sitaramanjaneyulu Madhukuri</t>
  </si>
  <si>
    <t>Joice</t>
  </si>
  <si>
    <t>Mahadev Shegunashi</t>
  </si>
  <si>
    <t>Jeya Kohila</t>
  </si>
  <si>
    <t>Heena Shah</t>
  </si>
  <si>
    <t>Shivakant Tripathy</t>
  </si>
  <si>
    <t xml:space="preserve">Monalisa Saha </t>
  </si>
  <si>
    <t>Usha Mishara</t>
  </si>
  <si>
    <t>Shraddha Gupta</t>
  </si>
  <si>
    <t>Sitapur Eye Hospital</t>
  </si>
  <si>
    <t xml:space="preserve">Recent advancements in Optometry </t>
  </si>
  <si>
    <t>Deepa GK</t>
  </si>
  <si>
    <t>Nethradhama School of Optometry</t>
  </si>
  <si>
    <t>Sanila Larewence</t>
  </si>
  <si>
    <t>Kavinkumaar P K</t>
  </si>
  <si>
    <t>Prasant Satpathy</t>
  </si>
  <si>
    <t>Mahanadi Netra Chikitsalaya</t>
  </si>
  <si>
    <t>Jyoti Mundhra</t>
  </si>
  <si>
    <t>Ajeet Bhardwaj</t>
  </si>
  <si>
    <t>Optique</t>
  </si>
  <si>
    <t xml:space="preserve">Tele-Optometry: AI-Powered Remote Screening for Community Practice </t>
  </si>
  <si>
    <t>Rahul Roy</t>
  </si>
  <si>
    <t>Jitendra Kumar Sahoo</t>
  </si>
  <si>
    <t>Chhaya Tiwary</t>
  </si>
  <si>
    <t>Judge</t>
  </si>
  <si>
    <t>Session 1 - Vision Centres: The way forward to Vision 2030</t>
  </si>
  <si>
    <t>Track 5 Day 1</t>
  </si>
  <si>
    <t>Madhavan SA</t>
  </si>
  <si>
    <t>Rajadurai B</t>
  </si>
  <si>
    <t>Presenter</t>
  </si>
  <si>
    <t>Nagma Ansari</t>
  </si>
  <si>
    <t>Session 1 - Vision Centres: The way forward to Vision 2031</t>
  </si>
  <si>
    <t>Preety Srivastava</t>
  </si>
  <si>
    <t>Session 1 - Vision Centres: The way forward to Vision 2032</t>
  </si>
  <si>
    <t>Vandana Sayrea</t>
  </si>
  <si>
    <t>Session 1 - Vision Centres: The way forward to Vision 2033</t>
  </si>
  <si>
    <t>Priya Raj Kaur</t>
  </si>
  <si>
    <t>Session 1 - Vision Centres: The way forward to Vision 2034</t>
  </si>
  <si>
    <t>Shubhrakanti Bhattacharya</t>
  </si>
  <si>
    <t>Session 1 - Vision Centres: The way forward to Vision 2035</t>
  </si>
  <si>
    <t>Session 1 - Vision Centres: The way forward to Vision 2036</t>
  </si>
  <si>
    <t>Dileswari Deep</t>
  </si>
  <si>
    <t>Session 1 - Vision Centres: The way forward to Vision 2037</t>
  </si>
  <si>
    <t>Rachit Nigam</t>
  </si>
  <si>
    <t>Session 1 - Vision Centres: The way forward to Vision 2038</t>
  </si>
  <si>
    <t>Session 1 - Vision Centres: The way forward to Vision 2039</t>
  </si>
  <si>
    <t>Session 2 - Strategies for reaching the unreached</t>
  </si>
  <si>
    <t>Bhawana Jha</t>
  </si>
  <si>
    <t>LEPRA Society</t>
  </si>
  <si>
    <t>Surakshya Poudel</t>
  </si>
  <si>
    <t>Nepal Netra Jyoti Sangh</t>
  </si>
  <si>
    <t>Vishal</t>
  </si>
  <si>
    <t>Phani Krishna Athreya</t>
  </si>
  <si>
    <t>Monalisha Sahoo</t>
  </si>
  <si>
    <t>Shaguptha Parvin</t>
  </si>
  <si>
    <t>Mobins Abraham</t>
  </si>
  <si>
    <t>Kajal Pandey</t>
  </si>
  <si>
    <t>Sivarasu N</t>
  </si>
  <si>
    <t>Tushita Mukherjee</t>
  </si>
  <si>
    <t>Session 3 - Providing services in the unserved areas</t>
  </si>
  <si>
    <t>Nandhini Vasudevan</t>
  </si>
  <si>
    <t>Naval Kumar Chauhan</t>
  </si>
  <si>
    <t>Akansha Gupta</t>
  </si>
  <si>
    <t>Muthulakshmi S</t>
  </si>
  <si>
    <t>Jayapriya Eye Foundation</t>
  </si>
  <si>
    <t>Sourabh Raj Singh</t>
  </si>
  <si>
    <t>Sumit Suman Kar</t>
  </si>
  <si>
    <t>Rituraj Gogoi</t>
  </si>
  <si>
    <t>Phanidhar Bardoloi Memorial Trust</t>
  </si>
  <si>
    <t>Parameswara Reddy C</t>
  </si>
  <si>
    <t>Jitender Saroya</t>
  </si>
  <si>
    <t>Session 4 - Universal Eye Health</t>
  </si>
  <si>
    <t>Mahesha</t>
  </si>
  <si>
    <t>Vikky Kumar M</t>
  </si>
  <si>
    <t>Vikas Kumar</t>
  </si>
  <si>
    <t>Seran Ilango</t>
  </si>
  <si>
    <t>Sumathy A</t>
  </si>
  <si>
    <t>Ranitha Guna Selvi D</t>
  </si>
  <si>
    <t>Pingla Priya S</t>
  </si>
  <si>
    <t>Pritesh Sonar</t>
  </si>
  <si>
    <t>Aurangabad Chikalthana Lions Eye Hospital</t>
  </si>
  <si>
    <t>Deepak Bhagat</t>
  </si>
  <si>
    <t>Rajbabu</t>
  </si>
  <si>
    <t>Session 5 - Eye Health for Vulnerable groups</t>
  </si>
  <si>
    <t>Debasmita Majhi</t>
  </si>
  <si>
    <t>L V Prasad Eye Institute</t>
  </si>
  <si>
    <t>Swetha Sarvanan</t>
  </si>
  <si>
    <t>Preeti Singh</t>
  </si>
  <si>
    <t>Ranu Priya</t>
  </si>
  <si>
    <t>Vasudha Kemmanu</t>
  </si>
  <si>
    <t>Renu Wadhwa</t>
  </si>
  <si>
    <t>K K Eye Institute</t>
  </si>
  <si>
    <t>Megha Girdhar</t>
  </si>
  <si>
    <t>Session 6 - Technology in Community Ophthalmology</t>
  </si>
  <si>
    <t>Priyanka Gupta</t>
  </si>
  <si>
    <t>Aswathaman</t>
  </si>
  <si>
    <t>Tanmay Gokhale</t>
  </si>
  <si>
    <t>Kamatchi kannan</t>
  </si>
  <si>
    <t>Prakhar Patel</t>
  </si>
  <si>
    <t>Sanghamitra Mishra</t>
  </si>
  <si>
    <t>Manmeet Singh</t>
  </si>
  <si>
    <t>Arun Kumar</t>
  </si>
  <si>
    <t>Saravanan Dharmarajan</t>
  </si>
  <si>
    <t>Katti V</t>
  </si>
  <si>
    <t>Session 7 - School Screening and Refractive Errors</t>
  </si>
  <si>
    <t>Gnanasekaran</t>
  </si>
  <si>
    <t>Ronal Vettikattu</t>
  </si>
  <si>
    <t>Parvindra Kumar</t>
  </si>
  <si>
    <t xml:space="preserve">Anand Chhajed </t>
  </si>
  <si>
    <t>Anandrishiji Netralaya</t>
  </si>
  <si>
    <t>Sandeep Tiwari</t>
  </si>
  <si>
    <t>Parmatma Prasad Gupta</t>
  </si>
  <si>
    <t>Jeyachandran</t>
  </si>
  <si>
    <t>Farheen Khan</t>
  </si>
  <si>
    <t>Naval kumar Chauhan</t>
  </si>
  <si>
    <t>Manish Kumar</t>
  </si>
  <si>
    <t>Session 8 - Refractive Error coverage</t>
  </si>
  <si>
    <t>Mohammad Nooruz Zaman</t>
  </si>
  <si>
    <t>ShoaibAhmed T</t>
  </si>
  <si>
    <t>Hariesh Kumar P</t>
  </si>
  <si>
    <t>Rose Mathew M</t>
  </si>
  <si>
    <t>Shanmugapriya</t>
  </si>
  <si>
    <t>Pritam Dutta</t>
  </si>
  <si>
    <t>Chandraprabha Eye Hospital</t>
  </si>
  <si>
    <t>Kamatchi</t>
  </si>
  <si>
    <t>Kumari B</t>
  </si>
  <si>
    <t>Subbalakshmi A</t>
  </si>
  <si>
    <t>Session 9 - Strategies to Improve Visual Outcome Post Cataract Surgery</t>
  </si>
  <si>
    <t>Ashwini Rogye</t>
  </si>
  <si>
    <t>Raichel R</t>
  </si>
  <si>
    <t>Ritesh Kumar Chaurasiya</t>
  </si>
  <si>
    <t>Gourav Kant Shrivastava</t>
  </si>
  <si>
    <t xml:space="preserve">Madhumitha B </t>
  </si>
  <si>
    <t>Pratyusha Mishra</t>
  </si>
  <si>
    <t xml:space="preserve">Vinod Kumar Rathore </t>
  </si>
  <si>
    <t xml:space="preserve">Vijay Singh </t>
  </si>
  <si>
    <t>Ranjith Kumar M</t>
  </si>
  <si>
    <t>Thomas Cherian</t>
  </si>
  <si>
    <t>Session 10 - Tackling Diabetic Retinopathy and ROP</t>
  </si>
  <si>
    <t>Radhika Srinivasan</t>
  </si>
  <si>
    <t>Swati</t>
  </si>
  <si>
    <t>Ramaiah Institute of Technology</t>
  </si>
  <si>
    <t xml:space="preserve">Bala Vidyadhar M S </t>
  </si>
  <si>
    <t>Vaibhav Sethi</t>
  </si>
  <si>
    <t>Arunodaya Deseret Eye Hospital</t>
  </si>
  <si>
    <t>Nimmy Thomas</t>
  </si>
  <si>
    <t xml:space="preserve">Netra Harsha </t>
  </si>
  <si>
    <t>Manasi Kulkarni</t>
  </si>
  <si>
    <t>Radhika L R</t>
  </si>
  <si>
    <t>Alageswari S</t>
  </si>
  <si>
    <t>Amaresh Kumar Pandey</t>
  </si>
  <si>
    <t>OEU</t>
  </si>
  <si>
    <t>Session 11 - Target: Inclusive Eye Health</t>
  </si>
  <si>
    <t>Track 5 Day 2</t>
  </si>
  <si>
    <t>Rajesh Kapse</t>
  </si>
  <si>
    <t>Sushma CR</t>
  </si>
  <si>
    <t>Femi K Sam</t>
  </si>
  <si>
    <t>Herbertpur Christian Hospital</t>
  </si>
  <si>
    <t>Urja Arora</t>
  </si>
  <si>
    <t>Anshu kumari</t>
  </si>
  <si>
    <t>Chellammal T</t>
  </si>
  <si>
    <t>Nasim Akhter</t>
  </si>
  <si>
    <t>Paramjit Sujlana</t>
  </si>
  <si>
    <t>Aditya Kumar Singh</t>
  </si>
  <si>
    <t>Amruta Pattnayak</t>
  </si>
  <si>
    <t>Rajesh Prabhu</t>
  </si>
  <si>
    <t>Session 12 - Comprehensive Eye Care</t>
  </si>
  <si>
    <t>Sarmila M</t>
  </si>
  <si>
    <t>Mayank Rai</t>
  </si>
  <si>
    <t>Faisal Khurshid</t>
  </si>
  <si>
    <t>Dolphins PG college</t>
  </si>
  <si>
    <t>Ragni Kumari</t>
  </si>
  <si>
    <t>Uttar Pradesh University of Medical Sciences</t>
  </si>
  <si>
    <t>Gomathi P</t>
  </si>
  <si>
    <t>Sheeba Qumar</t>
  </si>
  <si>
    <t>Zeba</t>
  </si>
  <si>
    <t>Session 13 - Quality in Eye Health</t>
  </si>
  <si>
    <t>Kalyani V</t>
  </si>
  <si>
    <t>Rutul Himanshu Shah</t>
  </si>
  <si>
    <t>Mohit Kashyap</t>
  </si>
  <si>
    <t>Kalaivani Sukumaran</t>
  </si>
  <si>
    <t>Syed Ali Abdul Wahid</t>
  </si>
  <si>
    <t>Vignesh R</t>
  </si>
  <si>
    <t>Shubashree Ghosh</t>
  </si>
  <si>
    <t>Session 14 - Sustainability in Eye Health</t>
  </si>
  <si>
    <t>Anil Mahto</t>
  </si>
  <si>
    <t>MGM Eye Institute</t>
  </si>
  <si>
    <t>Atul Kamath M</t>
  </si>
  <si>
    <t>Yenepoya Medical College and Hospital</t>
  </si>
  <si>
    <t xml:space="preserve">Manish Kumar </t>
  </si>
  <si>
    <t>Agatha Susan Jero</t>
  </si>
  <si>
    <t>Mohd Javed Nayab</t>
  </si>
  <si>
    <t>Sheeladevi Sethu</t>
  </si>
  <si>
    <t>Session 15 - Research in Community Ophthalmology</t>
  </si>
  <si>
    <t>Deepshikha Aggarwal</t>
  </si>
  <si>
    <t>CH Bhuvana Kalyani</t>
  </si>
  <si>
    <t>Lijiraj</t>
  </si>
  <si>
    <t>Rishikesh Balvalli</t>
  </si>
  <si>
    <t>Keerthana B</t>
  </si>
  <si>
    <t>Priya Rai</t>
  </si>
  <si>
    <t>Harshada Kale</t>
  </si>
  <si>
    <t>Divyanshi Rathore</t>
  </si>
  <si>
    <t>Ayushi Jaiswal</t>
  </si>
  <si>
    <t>Srini Karthikeyan</t>
  </si>
  <si>
    <t>Session 16 - Hospital based studies in Community Ophthalmology</t>
  </si>
  <si>
    <t>Manimala</t>
  </si>
  <si>
    <t>Simadri Surya Eye Hospital</t>
  </si>
  <si>
    <t>Pankaj Harishchandra Gaikwad</t>
  </si>
  <si>
    <t>Vimal Prajapati</t>
  </si>
  <si>
    <t xml:space="preserve">Nishat Rana Shaikh Abdul Jawed </t>
  </si>
  <si>
    <t>Anitha S</t>
  </si>
  <si>
    <t>Ravi Teja</t>
  </si>
  <si>
    <t>Sandeep</t>
  </si>
  <si>
    <t>Vasanth Kumar S</t>
  </si>
  <si>
    <t>Poster</t>
  </si>
  <si>
    <t>Muthumahesh</t>
  </si>
  <si>
    <t>Surya Prabha</t>
  </si>
  <si>
    <t>Subiksha S</t>
  </si>
  <si>
    <t>Kesavi S</t>
  </si>
  <si>
    <t>Devarani S</t>
  </si>
  <si>
    <t>Sayantani Saraswati</t>
  </si>
  <si>
    <t>Tripti Sharma</t>
  </si>
  <si>
    <t>Kousar Sidiq</t>
  </si>
  <si>
    <t>Priyam Chaudhary</t>
  </si>
  <si>
    <t>Suraj Kumar Chaurasiya</t>
  </si>
  <si>
    <t>Vidya Chelerkar</t>
  </si>
  <si>
    <t>PBMA's H V Desai Eye Hospital, Pune, Maharashtra</t>
  </si>
  <si>
    <t>Tannu Sharma</t>
  </si>
  <si>
    <t>Satya Prakash Sharma</t>
  </si>
  <si>
    <t>Akhila Das</t>
  </si>
  <si>
    <t>MS Ramaiah Institute of Technology, mathikere ,bengaluru</t>
  </si>
  <si>
    <t>Aalisha Arora</t>
  </si>
  <si>
    <t>Vision Spring Foundation</t>
  </si>
  <si>
    <t>Bharathi S</t>
  </si>
  <si>
    <t>Riyah Jaitika</t>
  </si>
  <si>
    <t>Hema Talavar</t>
  </si>
  <si>
    <t>MM Joshi Eye Institute</t>
  </si>
  <si>
    <t>Jyotishna Gutpa</t>
  </si>
  <si>
    <t>Karthika P</t>
  </si>
  <si>
    <t>Manimegalai R</t>
  </si>
  <si>
    <t>Himanshu Sapra</t>
  </si>
  <si>
    <t>Suchal Shivani</t>
  </si>
  <si>
    <t>Pranesh M</t>
  </si>
  <si>
    <t>Acchutha Eye Care &amp; Institute Of Optometry</t>
  </si>
  <si>
    <t>Lokesh Chauhan</t>
  </si>
  <si>
    <t>Aman Singh</t>
  </si>
  <si>
    <t>Vipin Pandey</t>
  </si>
  <si>
    <t>Ramesh Pokerna</t>
  </si>
  <si>
    <t>Nishant Jain</t>
  </si>
  <si>
    <t>Suchismita Acharya</t>
  </si>
  <si>
    <t>Nagbhatt</t>
  </si>
  <si>
    <t>Sujitha</t>
  </si>
  <si>
    <t>Imtiyaz Ahmad</t>
  </si>
  <si>
    <t>Shishir Kumar Choubey</t>
  </si>
  <si>
    <t>Amit Kumar Singh</t>
  </si>
  <si>
    <t>Soumya Ranjan Mohanty</t>
  </si>
  <si>
    <t>Sakshi Sahu</t>
  </si>
  <si>
    <t>Aksa Susan Abi</t>
  </si>
  <si>
    <t>Swamy Reddy</t>
  </si>
  <si>
    <t>Junagarh Netra Chiktilaya, LEPRA Society</t>
  </si>
  <si>
    <t>Ankur Saini</t>
  </si>
  <si>
    <t>Jegatheeswari J</t>
  </si>
  <si>
    <t>MOBINS ABRAHAM</t>
  </si>
  <si>
    <t>Prabhu Narayanan</t>
  </si>
  <si>
    <t>Dilip Kumar Verma</t>
  </si>
  <si>
    <t>Chalice Roshini</t>
  </si>
  <si>
    <t>Jeevikaa M</t>
  </si>
  <si>
    <t>Ashwin Ankush Pawar</t>
  </si>
  <si>
    <t>Laxmi Chartibale Trust/Laxmi Eye Institute/ Laxmi College of Optometry</t>
  </si>
  <si>
    <t>Ragni kumari</t>
  </si>
  <si>
    <t>Sarver Hussain</t>
  </si>
  <si>
    <t>Ankit kumar Mishra</t>
  </si>
  <si>
    <t>Devendra Kumar Sharma</t>
  </si>
  <si>
    <t>Ankita Raj</t>
  </si>
  <si>
    <t>Jhansi Sunitha G</t>
  </si>
  <si>
    <t>Shalini Kumar</t>
  </si>
  <si>
    <t>Nerthi Grace N</t>
  </si>
  <si>
    <t>Snehal Sadashiv Gawade</t>
  </si>
  <si>
    <t>Salma</t>
  </si>
  <si>
    <t>Gouri Maity</t>
  </si>
  <si>
    <t>Devi Udayakumar</t>
  </si>
  <si>
    <t>Vision-Aid</t>
  </si>
  <si>
    <t>Sweta Paul</t>
  </si>
  <si>
    <t>Vinay Kumar</t>
  </si>
  <si>
    <t>Ujjwal Kadu</t>
  </si>
  <si>
    <t>Prem Jee</t>
  </si>
  <si>
    <t>Likhitha K</t>
  </si>
  <si>
    <t>Venkatram Katti</t>
  </si>
  <si>
    <t>Anuja Desai</t>
  </si>
  <si>
    <t>Unnati Vaishya</t>
  </si>
  <si>
    <t>Regional Institue of Paramedical and Nursing Sciences,Zemabawk ,Aizwal , Mizoram</t>
  </si>
  <si>
    <t>ShikhaJhalani</t>
  </si>
  <si>
    <t>Globe Eye Foundation</t>
  </si>
  <si>
    <t>Zeeshan Siddiqui</t>
  </si>
  <si>
    <t>Rajesh</t>
  </si>
  <si>
    <t>Jagdish Singh</t>
  </si>
  <si>
    <t>Akshatha Chikkamath</t>
  </si>
  <si>
    <t>Sowndarya M</t>
  </si>
  <si>
    <t>Anuradha G</t>
  </si>
  <si>
    <t>Subbulakshmi</t>
  </si>
  <si>
    <t>Amritha Madhu</t>
  </si>
  <si>
    <t>Meera Nasrin</t>
  </si>
  <si>
    <t>Garima Rathore</t>
  </si>
  <si>
    <t>Aditi Pai</t>
  </si>
  <si>
    <t>A J INSTITUTE OF MEDICAL SCIENCES AND RESEARCH CENTER</t>
  </si>
  <si>
    <t>Sneha Lonappan</t>
  </si>
  <si>
    <t>Swati Singh</t>
  </si>
  <si>
    <t>Maneck Nicholson</t>
  </si>
  <si>
    <t>Sudhir Kumar Thakur</t>
  </si>
  <si>
    <t>NNJS/Lahan Eye &amp; Ear Care System</t>
  </si>
  <si>
    <t>Ankita Sinha</t>
  </si>
  <si>
    <t>Sampa Paul</t>
  </si>
  <si>
    <t>Biswajit Thakur</t>
  </si>
  <si>
    <t>Sangeetha</t>
  </si>
  <si>
    <t>Kartik Saxena</t>
  </si>
  <si>
    <t>Vignesh G</t>
  </si>
  <si>
    <t>Nivetha Purushothaman</t>
  </si>
  <si>
    <t>Reena Sethi</t>
  </si>
  <si>
    <t>Pravallika</t>
  </si>
  <si>
    <t>Rashi GM</t>
  </si>
  <si>
    <t>Pawan Kumar</t>
  </si>
  <si>
    <t>Pinal Jadhav</t>
  </si>
  <si>
    <t>Lakshmi Gandhi</t>
  </si>
  <si>
    <t>Navita</t>
  </si>
  <si>
    <t>Hemant Purswani</t>
  </si>
  <si>
    <t>Piyush Pratap Maurya</t>
  </si>
  <si>
    <t>Jatin Kumar Singh</t>
  </si>
  <si>
    <t>Poornima P</t>
  </si>
  <si>
    <t>Prasad</t>
  </si>
  <si>
    <t>Varsha M Rathi</t>
  </si>
  <si>
    <t>Pushpanjali Reddy</t>
  </si>
  <si>
    <t>Deenath mangeshkar hospital and research center</t>
  </si>
  <si>
    <t>Deepak Tripathi</t>
  </si>
  <si>
    <t>Uppukamatchi Mahalingam</t>
  </si>
  <si>
    <t>Nitesh Sah</t>
  </si>
  <si>
    <t>School Of Allied Health Sciences Jain (Deemed - To -Be University)</t>
  </si>
  <si>
    <t>Bablu Chaudhary</t>
  </si>
  <si>
    <t>Kavya S</t>
  </si>
  <si>
    <t>GD Goenka university</t>
  </si>
  <si>
    <t>Aysha Muneera</t>
  </si>
  <si>
    <t>Sriram</t>
  </si>
  <si>
    <t>Suvendu Kumar MItra</t>
  </si>
  <si>
    <t>Susanta Madhab Dutta</t>
  </si>
  <si>
    <t>Nivetha Shree S</t>
  </si>
  <si>
    <t>Yuvarani D</t>
  </si>
  <si>
    <t>Kaaviya Gadi</t>
  </si>
  <si>
    <t>Kundan Chouhan</t>
  </si>
  <si>
    <t>Nazia</t>
  </si>
  <si>
    <t>Vaishnavi Adatiya</t>
  </si>
  <si>
    <t>Sweta Singh Bandal</t>
  </si>
  <si>
    <t>Qtone Healthcare Solutions</t>
  </si>
  <si>
    <t>Elements in Screening platforms: Essentials and desirables</t>
  </si>
  <si>
    <t>Monitoring programs through screening platforms including geotagging</t>
  </si>
  <si>
    <t>Primary level solutions</t>
  </si>
  <si>
    <t>Innovations in hospital EMRs</t>
  </si>
  <si>
    <t>How Technology Converts Strategy into Measurable Eye-Care Impact: The REACH Soft Experience</t>
  </si>
  <si>
    <t xml:space="preserve">Innovative Platform for VCs </t>
  </si>
  <si>
    <t>Technological innovations at vision centres - Digital Surveillance System</t>
  </si>
  <si>
    <t>Role of research</t>
  </si>
  <si>
    <t>Role of Surveys- National survey on Rapid Assessment of Refractive Error and Presbyopia in India</t>
  </si>
  <si>
    <t>Role of grants- Seva's Technology Grant</t>
  </si>
  <si>
    <t>Learning from program (REACH)-Innovative strategies for improving compliance to glasses in children</t>
  </si>
  <si>
    <t>Use of LMS for training in eye hospitals</t>
  </si>
  <si>
    <t>Innovations in screening for retinal conditions</t>
  </si>
  <si>
    <t>Use of AI for screening in community based programs</t>
  </si>
  <si>
    <t>Use of AI for screening in vision centres for glaucoma</t>
  </si>
  <si>
    <t xml:space="preserve">Proximity based vibration feedback anklet for the visually impaired </t>
  </si>
  <si>
    <t>Role of audio-based navigation systems in improving mobility of blind patients</t>
  </si>
  <si>
    <t>Panel Discussion</t>
  </si>
  <si>
    <t>Contemporary Myopia Management: Risk Factors and Medical Management</t>
  </si>
  <si>
    <t>Redefining Optical Myopia Control: Clinical Evidence and the Next Evolution with H.A.L.T Lenses</t>
  </si>
  <si>
    <t>SPECS 2030 and the Value of Vision</t>
  </si>
  <si>
    <t>Q &amp; A</t>
  </si>
  <si>
    <t>Navigating Diabetic Retinopathy in India: Comparative Analysis of Innovative Treatment Pathways</t>
  </si>
  <si>
    <t>Portable Smart System for Self-Refraction and Infrastructure-Free Vision Screening</t>
  </si>
  <si>
    <t>Models for screening for ROP</t>
  </si>
  <si>
    <t>Fluidics that adapt to you: Surgeon-centric control on Hummingbird lite</t>
  </si>
  <si>
    <t>Decentralized Diabetic Retinopathy Care via Tele-Retina, Vision Centres &amp; Nayana Mobile Van: A Community Model</t>
  </si>
  <si>
    <t>Innovations in teleophthalmology</t>
  </si>
  <si>
    <t>Models for primary care in difficult terrains</t>
  </si>
  <si>
    <t>Universal eye health through VCs</t>
  </si>
  <si>
    <t>Increasing the scope of services at VCs</t>
  </si>
  <si>
    <t>Delivering Sustainable Primary Eye Care Through Solar-Powered Green Vision Centres: Cost per Beneficiary Analysis from Rural India</t>
  </si>
  <si>
    <t>AOP capability and SPECS 2030</t>
  </si>
  <si>
    <t>Key note</t>
  </si>
  <si>
    <t xml:space="preserve">Keynote- Innovations in training for eye care </t>
  </si>
  <si>
    <t>Surgical training for secondary level (DTH)</t>
  </si>
  <si>
    <t>Sandwich Fellowships for secondary level</t>
  </si>
  <si>
    <t>Advancing Wide-Field Imaging in ROP Screening: Bridging Clinical Needs and Technological Innovation</t>
  </si>
  <si>
    <t>AI Integrating with EMR</t>
  </si>
  <si>
    <t>AI enabled patient feedback</t>
  </si>
  <si>
    <t>One Point Solution for All Your Surgical Needs: Cataract Kit by Aurolab</t>
  </si>
  <si>
    <t>Global Universal Eye Health models and lessons learned</t>
  </si>
  <si>
    <t>Policy and legal framework enabling PPP in eye care</t>
  </si>
  <si>
    <t>Roles of Government, NGOs and Private Hospitals in partnership</t>
  </si>
  <si>
    <t>Impact of PPP and resource-sharing approaches</t>
  </si>
  <si>
    <t>Measuring impact, outcomes and accountability</t>
  </si>
  <si>
    <t>Partnerships with community organizations for synergy</t>
  </si>
  <si>
    <t>Role of ASHA workers and community volunteers in eye health</t>
  </si>
  <si>
    <t>Community-based screening and referral systems</t>
  </si>
  <si>
    <t>Addressing myths, stigma and barriers to treatment</t>
  </si>
  <si>
    <t xml:space="preserve">Building COmmunity partners for OUtreach programes </t>
  </si>
  <si>
    <t>Building trust and long-term community partnerships</t>
  </si>
  <si>
    <t>Best Practices across Countries for Universal Eye Health</t>
  </si>
  <si>
    <t>Strengthening National Eye Health Systems: The Role of International NGOs and Development Agencies</t>
  </si>
  <si>
    <t>Adapting global practices to Indian context</t>
  </si>
  <si>
    <t>Cross-border research and training initiatives</t>
  </si>
  <si>
    <t>CSR funding models for eye hospitals and vision centers</t>
  </si>
  <si>
    <t>Integration of primary eye care into primary health care services</t>
  </si>
  <si>
    <t>Governance models for multi-stakeholder alliances</t>
  </si>
  <si>
    <t>Strengthening School Health Education through Shared Resources and Training</t>
  </si>
  <si>
    <t>Strengthening Urban Eye Health Outreach through Sustainable Mobile Vision Centre Models</t>
  </si>
  <si>
    <t>Scaling Partnerships and Innovation to Achieve Universal Eye Health by 2047</t>
  </si>
  <si>
    <t>NGO Partnership Models for Collaborative Research and Blindness Prevention</t>
  </si>
  <si>
    <t>Government Relations and GESI, Cure Blindness Project</t>
  </si>
  <si>
    <t>School eye health programs in collaboration with education sector</t>
  </si>
  <si>
    <t>Technology and equipment support through CSR</t>
  </si>
  <si>
    <t>CSR-supported outreach programs and rural eye camps</t>
  </si>
  <si>
    <t>Building sustainable long-term corporate partnerships</t>
  </si>
  <si>
    <t>Ethics, Data Sharing and Governance in Collaborative Eye Health Research</t>
  </si>
  <si>
    <t>Data-Driven Approaches for Improving Eye Health Outcomes</t>
  </si>
  <si>
    <t>Innovation into Service Delivery through Training and Capacity Building</t>
  </si>
  <si>
    <t>Scaling digital networks for national eye care coverage</t>
  </si>
  <si>
    <t>Digital referral and follow-up systems</t>
  </si>
  <si>
    <t>Transforming Vision Care in Rural India: The 28-Year Eye Care Journey of Sankar Foundation</t>
  </si>
  <si>
    <t>Training the next generation: Institutional impact on eyecare workforce</t>
  </si>
  <si>
    <t>Community transformation through accessible eye health</t>
  </si>
  <si>
    <t>Equitable eyecare for persons with systemic disability</t>
  </si>
  <si>
    <t>Scaling ROP services in India: Challenges, Innovations and Partnerships- Panel Discussion: Moderator- Usha Rani, Cognizant Foundation</t>
  </si>
  <si>
    <t>Revenue diversification in eyecare : opticals, diagnostics, teleophthalmology</t>
  </si>
  <si>
    <t>Keynote Address: Quality accredition of vision centres</t>
  </si>
  <si>
    <t>Standardizing eye health: Quality and patient safety</t>
  </si>
  <si>
    <t>Ensuring Quality and safety in Vision centre</t>
  </si>
  <si>
    <t>Quality Accredition of vision centre : Our experience</t>
  </si>
  <si>
    <t>Standardizing the screening programs</t>
  </si>
  <si>
    <t>Cost of poor quality in eyecare</t>
  </si>
  <si>
    <t>Strengthening Referral Pathways for continuity of care</t>
  </si>
  <si>
    <t>Non negotiable key performance indicators for eye care organisations</t>
  </si>
  <si>
    <t>Effective communication and informed consent in eyecare</t>
  </si>
  <si>
    <t>Empowerment of the stakeholder: The Akhand Jyothi Model</t>
  </si>
  <si>
    <t>Exploring equity in eyecare delivery in urban populations</t>
  </si>
  <si>
    <t>Impact of Vision Centres on Achieving Universal Eye Health Coverage: Prevalence, Coverage, and Utilisation of Eye Care Services in Southern India</t>
  </si>
  <si>
    <t xml:space="preserve">Diabetic retinopathy screening and mobile laser in Diabetic  retinopathy screening centers, A rotary collaboration </t>
  </si>
  <si>
    <t>Strengthening Eye Donation Systems in India: Impact of a Hub-and-Spoke Eye Banking Network and Workforce Training Initiative</t>
  </si>
  <si>
    <t xml:space="preserve">Impact on Inclusive Eyecare delivery </t>
  </si>
  <si>
    <t>Spectacles Don’t Mean Vision Care Is Solved: Compliance and Follow-up Challenges in School Vision Programmes – Multistate Experience from India</t>
  </si>
  <si>
    <t xml:space="preserve">Patient Communication: A key to unlock service excellence at eye care hospitals to enhance service delivery </t>
  </si>
  <si>
    <t>Green Vision centers</t>
  </si>
  <si>
    <t>Reducing waste in high volume cataract surgery</t>
  </si>
  <si>
    <t>Building Architect: Green VC Initiatives</t>
  </si>
  <si>
    <t>Reframing Eye Health: From clinical outcomes to functional Ability and inclusion</t>
  </si>
  <si>
    <t>Screening for all: Empowering community health workers in Inclusive eyecare &amp; rehabilitation</t>
  </si>
  <si>
    <t>Nothing about us without us</t>
  </si>
  <si>
    <t>Panel Discussion: From gaps to action: Priorities for Inclusive Eye health in India</t>
  </si>
  <si>
    <t xml:space="preserve">IPEC: To bridge the Equity Gap in eyecare </t>
  </si>
  <si>
    <t>Reaching the unreached in tribal areas</t>
  </si>
  <si>
    <t>Family centered Early intervention Model for inclusive education of children with Multiple disabilities in rural area</t>
  </si>
  <si>
    <t>Demand Generation and Capacity building in running an eye hospital</t>
  </si>
  <si>
    <t xml:space="preserve">Impact of Ayushman Bharat-Supported Surgeries on the Sustainability of Vision Centres       </t>
  </si>
  <si>
    <t>Streamlining Patient Flow in a High-Volume Eye Hospital OPDs through Care Coordination: Impact on Waiting Time and Efficiency</t>
  </si>
  <si>
    <t>Transforming Optometry Education and Practice for the Next Decade</t>
  </si>
  <si>
    <t>From Refraction to Primary Eye Care: The Expanding Role of Optometrists</t>
  </si>
  <si>
    <t>Interdisciplinary Practice: Collaborating with Ophthalmology, Neurology &amp; Rehabilitation</t>
  </si>
  <si>
    <t>Panel Discussion - Will NCAHP Strengthen or Restrict Optometry Practice?</t>
  </si>
  <si>
    <t>Defining the Scope of Community Optometry under the NCAHP Framework</t>
  </si>
  <si>
    <t>Beyond Refraction: Expanding Career Horizons in Optometry</t>
  </si>
  <si>
    <t>Diverse Career Pathways in Optometry: Clinical, Academic &amp; Corporate Integration</t>
  </si>
  <si>
    <t>Regulation, Registration and Recognition: The Future under NCAHP</t>
  </si>
  <si>
    <t>Panel Discussion - The Expanding Role of Optometrists Across Clinical, Academic &amp; Corporate Domains</t>
  </si>
  <si>
    <t>Implications of Different Visual Acuity Cut-offs on Visual Functions among School-going Children in South India</t>
  </si>
  <si>
    <t xml:space="preserve">Sustainable and green practices in community Optometry </t>
  </si>
  <si>
    <t>Barries to cater Allied Ophthalmic Personnel training: Mobilization to monitoring recruitment</t>
  </si>
  <si>
    <t>Digital tools and e-learning in Allied Ophthalmic Personnel training</t>
  </si>
  <si>
    <t>Career pathways for allied Ophthalmic Personnel</t>
  </si>
  <si>
    <t>Economic Constraints- Scholarships, Stipends and financial aid effectiveness</t>
  </si>
  <si>
    <t>Oral Question on the dias</t>
  </si>
  <si>
    <t>Successfull retention model in Allied Ophthalmic Personnel Training</t>
  </si>
  <si>
    <t>From Training to Transformation: Developing Multi-Departmental Talent in Ophthalmic Personnel at Dr. Shroff’s Charity Eye Hospital</t>
  </si>
  <si>
    <t>Quality Assurance in AOP training- Is Accredation enough???</t>
  </si>
  <si>
    <t>Skill assessment approaches in AOP program</t>
  </si>
  <si>
    <t>Sustainable AOP training program: Educate, Empower and Engage</t>
  </si>
  <si>
    <t>Enhancing training effectiveness: From Skill to Outcomes</t>
  </si>
  <si>
    <t xml:space="preserve">Q &amp; A with Panelist 		
		</t>
  </si>
  <si>
    <t>Clinical Significance of Vision Therapy in Managing Asthenopia Beyond Refractive Correction</t>
  </si>
  <si>
    <t>Future of Optometry: Artificial Intelligence, Machine Learning, Big data and personalized Vision Care</t>
  </si>
  <si>
    <t>Ethical and Regulatory considerations in Tele Optometry</t>
  </si>
  <si>
    <t>Importance of Teleoptometry in modern eye care</t>
  </si>
  <si>
    <t>Role of teleoptometry in rural and underserved population</t>
  </si>
  <si>
    <t>Optimizing Eye Care in the Data Age: A Data-Driven Efficiency Benchmarking Study of Sankara Vision Centres</t>
  </si>
  <si>
    <t>Improving Pediatric Referral Adherence through Tele-Consultation and Video Counselling at Vision Centres</t>
  </si>
  <si>
    <t>Digital Transformation of Incident Reporting in Eye Care Centers: A Phase-wise Implementation Study</t>
  </si>
  <si>
    <t>Strengthening Vision Centres with Community Health Workers for Cataract Detection, Referral &amp; Follow-up</t>
  </si>
  <si>
    <t>Unlocking Rural Eye Care: Willingness to Pay for Technology-Enabled Vision Centre Services Among Rural Populations - A Contingent Valuation Study</t>
  </si>
  <si>
    <t>Role of refresher training for the workforce and its importance in holistic management of Vision Centres</t>
  </si>
  <si>
    <t>Are Vision Centres Identifying True Ocular Emergencies? Evaluating Referral Efficiency in a Primary-Secondary-Tertiary Eye Care Network</t>
  </si>
  <si>
    <t>The aim of this study is to identify and analyze the key operational challenges encountered in running vision centers</t>
  </si>
  <si>
    <t>Community-Based Pre-Operative Care Model to Improve Surgical Access in a Remote Vision Centre: The Purkhas Initiative</t>
  </si>
  <si>
    <t>Vision Centres Improve Spectacle Uptake Through Affordable and Accessible Primary Eye Care: A Comparative Analysis with a Tertiary Eye Hospital</t>
  </si>
  <si>
    <t>Expanding Specialist Eye Care Access in Western Odisha through Teleconsultancy at Vision Centres: A Model for Remote Communities</t>
  </si>
  <si>
    <t>Promoting integration of eye health into primary care in Nepal’s hilly regions through collaboration and partnership with local government institution</t>
  </si>
  <si>
    <t>Evaluation of non-strabismic binocular vision functions in pediatric age group of Malnad region</t>
  </si>
  <si>
    <t>Knowledge, Attitude and Practices of Eye Protective Equipment Use Among Industrial Workers in Western Uttar Pradesh</t>
  </si>
  <si>
    <t>To determine the prevalence and pattern of ocular morbidities among weavers in Western Odisha</t>
  </si>
  <si>
    <t>A cross-sectional assessment remote refraction for expanding vision-care access in community and clinical settings: Strategies to reach the unreached</t>
  </si>
  <si>
    <t>Decentralizing Eye Care through Vision Centres: Programmatic Lessons from Rural India</t>
  </si>
  <si>
    <t>Identifying the Burden of Referable Ocular Disease in a Rural Community: A Retrospective Analysis of a Large-Scale Tele-Ophthalmology Program in Bihar</t>
  </si>
  <si>
    <t>Challenges to Cataract Surgery Uptake Across Ten States of India: Experience from Sankara Eye Foundation</t>
  </si>
  <si>
    <t xml:space="preserve">Transforming Eye Care Delivery through Public Private Partnerships: Evidence of Rural Eye Health Initiative of Alwar, Rajasthan </t>
  </si>
  <si>
    <t xml:space="preserve">Impact of collaboration between eye hospitals and eye care NGOs to strengthen eye care service in rural Odisha </t>
  </si>
  <si>
    <t>Eye Health Needs and Service Delivery Among Handloom Weavers: Findings from a Multi-State Community Screening Programme</t>
  </si>
  <si>
    <t>From Paper to Platform: Strengthening Eye Screening Camps and Referral Pathways Using the Peek Digital Platform</t>
  </si>
  <si>
    <t>Ocular Profile of Devotees visited to Netra Kumbh in Maha Kumbh Mela in Prayagraj -A Spiritual Gathering</t>
  </si>
  <si>
    <t>Improving Road Safety Through Vision Screening: Refractive Error Detection and Free Spectacle Distribution Among Drivers in Hubli</t>
  </si>
  <si>
    <t>Workplace Eye Screening to Improve Vision, Safety and Productivity among Industrial Workers in Western Uttar Pradesh</t>
  </si>
  <si>
    <t>Prevalence and Causes of Visual Impairment Among Adults Aged ≥40 Years in Nabarangpur District, Odisha, India: Findings from RAVI Study.</t>
  </si>
  <si>
    <t>Sustaining Primary Eye Care in a River Island: Experience from Kamalabari Vision Centre, Majuli, Assam</t>
  </si>
  <si>
    <t>Last-Mile Eye Health: Cost-Effectiveness of Mobile Eye Care Delivery in Tribal Karnataka</t>
  </si>
  <si>
    <t>Community-Based Eye Screening and Referral Pathways: Evidence from a Large-Scale Rural Population Program in 100 Villages of Mathura District by SCEH</t>
  </si>
  <si>
    <t>Collaboration in Action: A Community-Driven Monthly Outreach Model Advancing Universal Eye Health in Kalluvathakkal</t>
  </si>
  <si>
    <t>Implementation of Triage Clinic in an Eye Hospital</t>
  </si>
  <si>
    <t>Evaluating the Impact of Opportunistic Eye Screening among Patient Attendants,  Determinants of Service uptake in a tertiary Eye Hospital</t>
  </si>
  <si>
    <t>The "Waiting Room" Strategy: A Hospital-Based Systematic Screening Approach</t>
  </si>
  <si>
    <t>Catching the Silent Thief: Using Tech to Screen First-Degree Glaucoma Relatives</t>
  </si>
  <si>
    <t>Improving compliance with preventive glaucoma screening measures among glaucoma patients and their first-degree relatives: A Clinical Audit</t>
  </si>
  <si>
    <t>Eye Camps as Gateways for Integrated NCD Screening: A Community Health Opportunity</t>
  </si>
  <si>
    <t>Economic Advantages of Readers from Near-Vision: Findings from pilot study in India</t>
  </si>
  <si>
    <t>Reducing Surgery Postponement in Operation Theatre by Strengthening Pre-operative Checklist and OT Planning</t>
  </si>
  <si>
    <t xml:space="preserve">Changes In Visual Performance Of Ophthalmologists Associated With Pre And Post Laser Treatment   </t>
  </si>
  <si>
    <t>Particularly Vulnerable Tribal Group-understanding the barriers, the disabilities, mental health and the impact of eye care services among Dongaria</t>
  </si>
  <si>
    <t>Vision for Dignity: Integrated Geriatric Eye Care as a Cornerstone of a Developed and Caring India</t>
  </si>
  <si>
    <t xml:space="preserve">Impact of Low Vision and Refractive Errors on Quality of Life: A Clinical Study </t>
  </si>
  <si>
    <t xml:space="preserve">Comparative assessment of RAAB and programmatic data for causes of Blindness and Visual Impairment (VI) in North Indian population. </t>
  </si>
  <si>
    <t>Assessment of compliance and visual function improvement after Low Vision Aid dispensing in school for blind students from Southern Maharashtra</t>
  </si>
  <si>
    <t>Causes of Low Vision and Blindness Among Children Screened Under Project Prakash in North India</t>
  </si>
  <si>
    <t>Generating Evidence from Primary Health Centers to Strengthen Pediatric Eye Care: Lessons from Pavagada, Karnataka</t>
  </si>
  <si>
    <t>Quality-of-Life Post Eye Care Interventions in Patients with Impaired Cognitive Functions</t>
  </si>
  <si>
    <t>To ensure the provision of quality pediatric eye care services through sandwich fellowship</t>
  </si>
  <si>
    <t>Strengthening Patient-Centered Care through Integration of WhatsApp-Based Feedback with Conventional Feedback Systems in an Eye Care Institution</t>
  </si>
  <si>
    <t>Effectiveness of Tele Ophthalmology in Reducing Unnecessary Referrals to Base Hospitals in Rural Eye Care</t>
  </si>
  <si>
    <t>Evaluating the Social Return on Investment (SROI) of Allied Ophthalmic Personnel (AOP) at Dr. Shroff’s Charity Eye Hospital</t>
  </si>
  <si>
    <t xml:space="preserve">Development of a Machine Learning Algorithm to predict outcomes of keratoplasty </t>
  </si>
  <si>
    <t>Accuracy of an Artificial Intelligence-based Mobile App for Detecting Cataracts:  Results from a Field Study</t>
  </si>
  <si>
    <t>A Zero-Cost Digital Dashboard for Daily Data Monitoring of Quality Indicators in Eye Hospitals Using Google Sheet with Artificial Intelligence</t>
  </si>
  <si>
    <t>Evolution of the REACH: From Hospital-Led Screening to a Community-Centric, Technology-Enabled and Scalable Model</t>
  </si>
  <si>
    <t>Tele-Ophthalmology Networks: Creating a Shared Knowledge Ecosystem for Rural Eye Care in India</t>
  </si>
  <si>
    <t>Voice AI transformed SEFI's performance evaluation, replacing biased, periodic appraisals with real-time, data-driven, objective assessments</t>
  </si>
  <si>
    <t xml:space="preserve">Sankara Eye Care Hospital used RPA to automate data entry, boosting efficiency, accuracy, compliance, and reducing costs in government reporting        </t>
  </si>
  <si>
    <t>A Portable Quantitative Device for Early Detection and Monitoring of Amblyopia in Children</t>
  </si>
  <si>
    <t>Hidden Burden of Refractive Errors: A Comparative Study of Madrasa and School Vision Screening Outcomes</t>
  </si>
  <si>
    <t>Beyond Screening: A Three-Tier Public–Private Partnership Model for Comprehensive School Eye Care in Rural Maharashtra</t>
  </si>
  <si>
    <t>Innovative Digital School Eye Screening Using PEEK: Advancing Child Eye Health in Varanasi towards Viksit Bharat 2047</t>
  </si>
  <si>
    <t xml:space="preserve">Evaluation of Teacher-Led Vision Screening under the School Eye Health Programme in Three Blocks of Katni District, Madhya Pradesh. </t>
  </si>
  <si>
    <t>To evaluate the impact of providing spectacles on educational performance among schoolchildren with uncorrected refractive errors (URE) in South India</t>
  </si>
  <si>
    <t xml:space="preserve">Vision Centres Improve Spectacle Uptake Through Affordable and Accessible Primary Eye Care: A Comparative Analysis with a Tertiary Eye Hospital        </t>
  </si>
  <si>
    <t>Effect of myopia control lenses on myopia progression</t>
  </si>
  <si>
    <t>Exploring parental awareness of interventions for myopia progression control at tertiary eye hospital – A questionaire-based Study.</t>
  </si>
  <si>
    <t>Impact of Sibling Screening Program in Rural Vision Centers for early detection of Refractive Errors and ocular disorders among Paediatric Age group.</t>
  </si>
  <si>
    <t>Effectiveness of Low-Dose Atropine, Myopia Control Spectacles and Combination Therapy in Childhood Myopia: A Comparative Retrospective Analysis</t>
  </si>
  <si>
    <t>Reading Speed and Ocular Fatigue In Different Reading Postures: Myopes Vs Emmetropes</t>
  </si>
  <si>
    <t>Impact of a Canopy-Based Standardized Refraction Model on Error Rate, Spectacle Compliance, and Technician-Perceived Accuracy in Community Eye Camps</t>
  </si>
  <si>
    <t>Comparison of axial length progression in children undergoing different myopia control interventions : A retrospective cohort study</t>
  </si>
  <si>
    <t xml:space="preserve">Comparison of the effectiveness of monocular active vision therapy versus binocular active vision therapy in children with anisometropic amblyopia </t>
  </si>
  <si>
    <t xml:space="preserve">Avoidable Visual Impairment After Cataract Surgery: Unmet Need for Refractive Error Correction in Urban Poor Communities of Mumbai </t>
  </si>
  <si>
    <t>Warming Vision - Instrumenting Safe Intra ocular lens implantation</t>
  </si>
  <si>
    <t>Cataract Blindness Backlog-Free Block: A Community-Based Model from Rithi Block, Katni District, Madhya Pradesh, India</t>
  </si>
  <si>
    <t>Assessment of  Binocular Vision Parameters pre and post therapy targeting Peripheral Awareness</t>
  </si>
  <si>
    <t>Beyond Vision: How Cataract Surgery Restores Independence and Livelihoods in Rural South India</t>
  </si>
  <si>
    <t>Title: Impact of a Hybrid Screening Model on Cataract Surgical Volume in Rural Rajasthan: A One-Year Analysis</t>
  </si>
  <si>
    <t>Trends in Cataract Surgery and Ayushman Bharat Utilization in Outreach and Vision Centers in Uttar Pradesh (2022–2026)</t>
  </si>
  <si>
    <t>Conversion Paradigm: A Comparative Analysis of Surgical Conversion Rates Between Government-Funded Scheme &amp; Private-Pay Patients in Tertiary Eye Care</t>
  </si>
  <si>
    <t>Enablers &amp; Barriers For Compliance to Follow-up for Regular Diabetic Retinopathy Screening in a Low Income, Primary Care Setting in Southern India</t>
  </si>
  <si>
    <t>Effectiveness of fundus evaluation of diabetic patients at camp site using retinal imaging for early detection of diabetic retinopathy</t>
  </si>
  <si>
    <t>AI-assisted diabetic retinopathy screening as a scalable model for community eye health programs in India</t>
  </si>
  <si>
    <t>Diabetic Retinopathy: Community Based Approach Using Innovative Methods</t>
  </si>
  <si>
    <t>A Multi-sector Partnership Model for ROP Care Delivery in India: Programme Evidence from Mission Nayan</t>
  </si>
  <si>
    <t>Non-Mydriatic Fundus Imaging in Outpatient Ophthalmology: Reducing Dilated Exams and Enhancing Workflow Efficiency</t>
  </si>
  <si>
    <t xml:space="preserve">Low Vision Aids Prescribing Patterns in Sankara Eye Hospital Bangalore
</t>
  </si>
  <si>
    <t xml:space="preserve">Knowledge, Attitudes and Practices among Parents of Children with Special Needs Regarding vision screening, and rehabilitation, in Uttarakhand
</t>
  </si>
  <si>
    <t>Enhancing Cataract Surgical Uptake and Gender Equity through Community-Based Eye Care Interventions in Kasganj District, Uttar Pradesh.</t>
  </si>
  <si>
    <t>Comparative analysis of vision screening accuracy by Community health workers vs Optometrists in community settings in Mumbai - MEDiS Report 2</t>
  </si>
  <si>
    <t>"Smart Vision Glasses: User Feedback Study on Functional Outcomes for Individuals with Visual Impairment"</t>
  </si>
  <si>
    <t>Impact of Smart Vision Glass Ultra On Quality Of Life Of College Going Student</t>
  </si>
  <si>
    <t>Empowering Young Women: Transformative Impact of Allied Ophthalmic Paramedics program on Inclusive Eye Care at Dr. Shroff's Charity Eye Hospital</t>
  </si>
  <si>
    <t>Determinants of High-Performing Screeners in Household Eye Screening: Insights from the Peek India Screener Analysis</t>
  </si>
  <si>
    <t>Impact of Allied Ophthalmic Personnel (AOPs) Driven Process on Service Delivery Outcomes at Dr. Shroff’s Charity Eye Hospital, India</t>
  </si>
  <si>
    <t xml:space="preserve">Comprehensive Eye Care in Aspirational Districts: Learning and way forward </t>
  </si>
  <si>
    <t>Assessing KAP and Barriers to Follow-up among Endogenous Endophthalmitis cases: Addressing Equity, Quality, and Sustainability at a Tertiary Centre</t>
  </si>
  <si>
    <t>Diwali Firecracker-Related Ocular Injuries: Clinical Profile, Visual Outcomes, and Safety Interventions in a Multi-Tier Eye Care Network</t>
  </si>
  <si>
    <t>Understanding visual outcomes in Keratoconus Patients after Scleral Contact lens Fitting</t>
  </si>
  <si>
    <t>Barriers to Follow-up and Treatment Compliance Among Newly Diagnosed Primary Glaucoma Patients in a Community-Based Glaucoma Project</t>
  </si>
  <si>
    <t xml:space="preserve">Exploring Relationship of Body Mass Index with Intraocular Pressure
</t>
  </si>
  <si>
    <t>Enhancing Patient Safety through Assessment and Improvement of Eye Examination Practices</t>
  </si>
  <si>
    <t>Changing trends of fundus fluorescein angiography performed in the era of OCTA in the management of neovascular AMD</t>
  </si>
  <si>
    <t>Does Blood Relation affect ocular parameters? A Study on Consanguinity and Ocular traits</t>
  </si>
  <si>
    <t>Improving Patient Experience through a Turnaround Time (TAT) Tracking System and Interdepartmental Coordination in Eye Care</t>
  </si>
  <si>
    <t>Improving Quality, Safety and Operational Efficiency in a Community Eye Hospital through 5S Implementation</t>
  </si>
  <si>
    <t>RPA eliminated 100% manual payroll errors at SEFI, cut processing time from 480 to 3 hrs enabled real-time payroll analytics, saved 1.36Crs Annually</t>
  </si>
  <si>
    <t xml:space="preserve">Understanding Student Dropouts in the Mobilisation-to-Admission Process Across Six Allied Ophthalmic Personnel Training Centres </t>
  </si>
  <si>
    <t>Vision for Tomorrow: Eye Health Advancing SDGs</t>
  </si>
  <si>
    <t>From Manual to Automated: Enhancing Efficiency in Healthcare MIS Reporting Through a Performance Review Portal</t>
  </si>
  <si>
    <t>SEFI's tailor-made Psychometric Analysis aligned individual traits, organisational values, and competency behaviours across specific grades and bands</t>
  </si>
  <si>
    <t>Operational Analysis of Patient Flow in a High-Volume Ophthalmology Clinic</t>
  </si>
  <si>
    <t>Deployment of TQM based policy management techniques to improve productivity.</t>
  </si>
  <si>
    <t xml:space="preserve">Enabling factors for sustainability of Inclusive vision center after three years of inception 127 Inclusive vision center (IVCs) of across India  </t>
  </si>
  <si>
    <t>Sponsored Eye Camps vs Traditional Outreach Models: Improving Surgical Yield and Sustainability</t>
  </si>
  <si>
    <t>Reducing carbon footprint in cataract services: A cross-sectional study of sustainable eye hospital models advancing circular economy principles</t>
  </si>
  <si>
    <t>Factors Determining the Sustainability of Primary Eye Care Vision Centres in Rural India</t>
  </si>
  <si>
    <t>ReFrame Initiative: A Multi-Sector Alliance Transforming Ocean Plastic Waste into Vision Solutions for Underserved Communities</t>
  </si>
  <si>
    <t xml:space="preserve">Debunking the Cost Myth of Door-to-Door Vision Screening: From Perceived Financial Burden to a Sustainable Community Model </t>
  </si>
  <si>
    <t xml:space="preserve">Valuing Individuals by Engaging With care (VIEW): A randomized controlled trial </t>
  </si>
  <si>
    <t>Consensus-Based Development of Root Cause Analysis and CAPA Guidelines for Common Adverse Events in Ophthalmology</t>
  </si>
  <si>
    <t>Determinants of Non-Uptake of Cataract Surgery Among Patients Declared Unfit: A Three-Month Follow-Up Study</t>
  </si>
  <si>
    <t>Scaling Precision in Community Eye Care: A Deep Learning Framework for High-Volume Endothelial Screening and Automated Analysis of Corneal Guttae</t>
  </si>
  <si>
    <t xml:space="preserve">Cataract and cornea fellowship experience in a rural based trust run hospital: A model for surgical skill development </t>
  </si>
  <si>
    <t>Building a Knowledge Repository Through Tele-Calls for Rural Post-Op Eye Care</t>
  </si>
  <si>
    <t>Impact of Allied Ophthalmic Personnel Training on Professional Competence and Personal Empowerment</t>
  </si>
  <si>
    <t>Empowering India's Rural Frontline: A National Strategy for Optometry Workforce Resilience and Equitable Distribution</t>
  </si>
  <si>
    <t>Identifying Barriers and User-Led Solutions to Improve Equitable Access to Community Eye Services: A Rapid Mixed-Methods Study in India</t>
  </si>
  <si>
    <t>ASHA Community Ambassadors: A Royalty-Based Model to Strengthen Referral Linkages and Surgical Uptake</t>
  </si>
  <si>
    <t>Impact of Development Centres in moving from generic training to individualized development</t>
  </si>
  <si>
    <t xml:space="preserve">Simulation-Based Ophthalmic Training at Sankara Eye Foundation: Utilization and Outcomes
</t>
  </si>
  <si>
    <t>Technology-Enabled High-Volume Cataract Surgery Model in teaching Institute to Improve Access, Efficiency and Outcomes in Underserved Populations</t>
  </si>
  <si>
    <t>Community-Based Opportunistic Intraocular Pressure Screening for Early Glaucoma Detection Across Multiple Platforms in South Gujarat</t>
  </si>
  <si>
    <t xml:space="preserve">Optimizing Discharge Patterns and Transforming into Surgical Success to Enhance Access for Actual Beneficiaries
</t>
  </si>
  <si>
    <t>Optimising Patient Flow in the Community Outreach Ward through TQM to Improve Operational Efficiency, Patient Movement, and Safety</t>
  </si>
  <si>
    <t>Strengthening Patient Communication and Education in Eye Care: Capacity Building and System Development in Northern India</t>
  </si>
  <si>
    <t>Reducing Patient Waiting Time through Effective Resource Utilization – A Pathway to Improved Operational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</si>
</sst>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1155CC"/>
      <name val="Aptos Narrow"/>
      <family val="2"/>
      <scheme val="minor"/>
    </font>
    <font>
      <sz val="11"/>
      <color rgb="FF1155CC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u/>
      <sz val="11"/>
      <color rgb="FF222222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rgb="FF5E5E5E"/>
      <name val="Aptos Narrow"/>
      <family val="2"/>
      <scheme val="minor"/>
    </font>
    <font>
      <sz val="11"/>
      <color rgb="FF222222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/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4" xfId="0" applyFont="1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left"/>
    </xf>
    <xf numFmtId="0" fontId="7" fillId="0" borderId="0" xfId="0" applyFont="1"/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/>
    <xf numFmtId="0" fontId="7" fillId="0" borderId="6" xfId="0" applyFont="1" applyBorder="1" applyAlignment="1">
      <alignment vertical="top"/>
    </xf>
    <xf numFmtId="0" fontId="0" fillId="0" borderId="0" xfId="0" applyAlignment="1">
      <alignment horizontal="left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/>
    <xf numFmtId="0" fontId="2" fillId="0" borderId="0" xfId="0" applyFont="1"/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0" fillId="0" borderId="0" xfId="0" applyFont="1"/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07961\Downloads\Scientific%20Program%20Schedule%20-20%20AC%20-%20working%20file%20%20100626.xlsx" TargetMode="External"/><Relationship Id="rId1" Type="http://schemas.openxmlformats.org/officeDocument/2006/relationships/externalLinkPath" Target="file:///C:\Users\007961\Downloads\Scientific%20Program%20Schedule%20-20%20AC%20-%20working%20file%20%201006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nts"/>
      <sheetName val="Poster"/>
      <sheetName val="Speakers Directory"/>
      <sheetName val="Notes"/>
      <sheetName val="Final"/>
      <sheetName val="Track 1"/>
      <sheetName val="Track 2"/>
      <sheetName val="Track 3"/>
      <sheetName val="Track 4"/>
      <sheetName val="Track 5 Day 1"/>
      <sheetName val=" Track 4 new"/>
      <sheetName val="Track 5"/>
      <sheetName val="Track 5 Day 2"/>
      <sheetName val="Pre-conference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INNOVATION, COLLABORATION AND IMPACT IN EYE CARE: VISION FOR VIKSIT BHARAT 2047
11 – 12 July 2026 (Saturday and Sunday)
Track 1: Innovations and Technological solutions in eye care</v>
          </cell>
          <cell r="E1" t="str">
            <v>INNOVATION, COLLABORATION AND IMPACT IN EYE CARE: VISION FOR VIKSIT BHARAT 2047
11 – 12 July 2026 (Saturday and Sunday)
Track 1: Innovations and Technological solutions in eye care</v>
          </cell>
        </row>
        <row r="2">
          <cell r="A2" t="str">
            <v>Day 1: Saturday, 11 July 2026                                Venue: Sankara Eye Foundation</v>
          </cell>
          <cell r="E2" t="str">
            <v>Day 2: Sunday, 12 July 2026                                        Venue: Sankara Eye Foundation</v>
          </cell>
        </row>
        <row r="3">
          <cell r="A3" t="str">
            <v>Session Time: 09.00 – 10.00 hrs</v>
          </cell>
          <cell r="E3" t="str">
            <v>Session Time: 09.00 – 10.00 hrs</v>
          </cell>
        </row>
        <row r="4">
          <cell r="A4" t="str">
            <v>Course Name</v>
          </cell>
          <cell r="E4" t="str">
            <v>Course Name</v>
          </cell>
        </row>
        <row r="5">
          <cell r="A5" t="str">
            <v>Course Objective</v>
          </cell>
          <cell r="E5" t="str">
            <v>Course Objective</v>
          </cell>
        </row>
        <row r="6">
          <cell r="A6" t="str">
            <v>Chair</v>
          </cell>
          <cell r="E6" t="str">
            <v>Chair</v>
          </cell>
        </row>
        <row r="7">
          <cell r="A7" t="str">
            <v>Co Chair</v>
          </cell>
          <cell r="E7" t="str">
            <v>Co Chair</v>
          </cell>
        </row>
        <row r="8">
          <cell r="A8" t="str">
            <v>Moderator</v>
          </cell>
          <cell r="E8" t="str">
            <v>Moderator</v>
          </cell>
        </row>
        <row r="9">
          <cell r="A9" t="str">
            <v>Time</v>
          </cell>
          <cell r="C9" t="str">
            <v>Speakers</v>
          </cell>
          <cell r="E9" t="str">
            <v>Time</v>
          </cell>
          <cell r="H9" t="str">
            <v>Speakers</v>
          </cell>
        </row>
        <row r="10">
          <cell r="A10" t="str">
            <v>9.00-9.08</v>
          </cell>
          <cell r="C10" t="str">
            <v>Subeesh Kuyyadiyil, Sadguru Netra Chikitsalaya</v>
          </cell>
          <cell r="E10" t="str">
            <v>9.00-9.08</v>
          </cell>
          <cell r="H10" t="str">
            <v>Aaron Basaiawmoit, Bansara Eye care</v>
          </cell>
        </row>
        <row r="11">
          <cell r="A11" t="str">
            <v>9.08-9.16</v>
          </cell>
          <cell r="C11" t="str">
            <v>Senthilraja, Sankara Eye Foundation</v>
          </cell>
          <cell r="E11" t="str">
            <v>9.08-9.16</v>
          </cell>
          <cell r="H11" t="str">
            <v>Franklin Daniel, Mission For Vision</v>
          </cell>
        </row>
        <row r="12">
          <cell r="A12" t="str">
            <v>9.16-9.24</v>
          </cell>
          <cell r="C12" t="str">
            <v>Shweta Verma, Vision Spring</v>
          </cell>
          <cell r="E12" t="str">
            <v>9.16-9.24</v>
          </cell>
          <cell r="H12" t="str">
            <v>Birendra Pratap, Dr Shroff's Charity Eye hospital</v>
          </cell>
        </row>
        <row r="13">
          <cell r="A13" t="str">
            <v>9.24-9.32</v>
          </cell>
          <cell r="C13" t="str">
            <v>Shyamanta Bijoy, Dr. Shroff's Charity Eye Hospital</v>
          </cell>
          <cell r="E13" t="str">
            <v>9.24-9.32</v>
          </cell>
          <cell r="H13" t="str">
            <v>Padmaja K Rani, LVPEI</v>
          </cell>
        </row>
        <row r="14">
          <cell r="A14" t="str">
            <v>9.32-9.40</v>
          </cell>
          <cell r="C14" t="str">
            <v>RR Sudhir, Sankara Netralaya</v>
          </cell>
          <cell r="E14" t="str">
            <v>9.32-9.40</v>
          </cell>
          <cell r="H14" t="str">
            <v>Dinesh Chandra, Orbis</v>
          </cell>
        </row>
        <row r="15">
          <cell r="A15" t="str">
            <v>9.40-9.48</v>
          </cell>
          <cell r="C15" t="str">
            <v>Rahul Kumar, Orbis International</v>
          </cell>
          <cell r="E15" t="str">
            <v>9.40-9.48</v>
          </cell>
          <cell r="H15" t="str">
            <v xml:space="preserve">Sarangadhar Samal, Kalinga Eye Hospital </v>
          </cell>
        </row>
        <row r="16">
          <cell r="A16" t="str">
            <v>9.48-10.00</v>
          </cell>
          <cell r="E16" t="str">
            <v>9.48-10.00</v>
          </cell>
        </row>
        <row r="17">
          <cell r="A17" t="str">
            <v xml:space="preserve">BREAK: 15 mins </v>
          </cell>
          <cell r="E17" t="str">
            <v xml:space="preserve">BREAK: 15 mins </v>
          </cell>
        </row>
        <row r="18">
          <cell r="A18" t="str">
            <v>Session Time: 10.15 – 11.15 hrs</v>
          </cell>
          <cell r="E18" t="str">
            <v>Session Time: 10.15 – 11.15 hrs</v>
          </cell>
        </row>
        <row r="19">
          <cell r="A19" t="str">
            <v>Course Name</v>
          </cell>
          <cell r="E19" t="str">
            <v>Course Name</v>
          </cell>
        </row>
        <row r="20">
          <cell r="A20" t="str">
            <v>Course Objective</v>
          </cell>
          <cell r="E20" t="str">
            <v>Course Objective</v>
          </cell>
        </row>
        <row r="21">
          <cell r="A21" t="str">
            <v>Chair</v>
          </cell>
          <cell r="E21" t="str">
            <v>Chair</v>
          </cell>
        </row>
        <row r="22">
          <cell r="A22" t="str">
            <v>Co-Chair</v>
          </cell>
          <cell r="E22" t="str">
            <v>Co-Chair</v>
          </cell>
        </row>
        <row r="23">
          <cell r="A23" t="str">
            <v>Moderator</v>
          </cell>
          <cell r="E23" t="str">
            <v>Moderator</v>
          </cell>
        </row>
        <row r="24">
          <cell r="A24" t="str">
            <v>Time</v>
          </cell>
          <cell r="C24" t="str">
            <v>Speakers</v>
          </cell>
          <cell r="E24" t="str">
            <v>Time</v>
          </cell>
          <cell r="H24" t="str">
            <v>Speakers</v>
          </cell>
        </row>
        <row r="25">
          <cell r="A25" t="str">
            <v>10.15-10.35</v>
          </cell>
          <cell r="C25" t="str">
            <v>U V Kannan, Appasamy Associates</v>
          </cell>
          <cell r="E25" t="str">
            <v>10.15-10.35</v>
          </cell>
          <cell r="H25" t="str">
            <v>Arun Acharya, Seva Foundation</v>
          </cell>
        </row>
        <row r="26">
          <cell r="A26" t="str">
            <v>10.35-10.43</v>
          </cell>
          <cell r="C26" t="str">
            <v>Niranjan Kumar, LVPEI</v>
          </cell>
          <cell r="E26" t="str">
            <v>10.35-10.45</v>
          </cell>
          <cell r="H26" t="str">
            <v>Prachi Aggarwal, Orbis International</v>
          </cell>
        </row>
        <row r="27">
          <cell r="A27" t="str">
            <v>10.43-10.51</v>
          </cell>
          <cell r="C27" t="str">
            <v>Heidi Chase, Seva Foundation</v>
          </cell>
          <cell r="E27" t="str">
            <v>10.45-10.55</v>
          </cell>
          <cell r="H27" t="str">
            <v>Dhivya Ramasamy, Aravind Eye Care</v>
          </cell>
        </row>
        <row r="28">
          <cell r="A28" t="str">
            <v>10.51-10.59</v>
          </cell>
          <cell r="C28" t="str">
            <v>Praveen Vashisht, AIIMS</v>
          </cell>
          <cell r="E28" t="str">
            <v>10.55-11.05</v>
          </cell>
          <cell r="H28" t="str">
            <v>Suneeta Dubey, Dr Shroff's Charity Eye Hospital</v>
          </cell>
        </row>
        <row r="29">
          <cell r="A29" t="str">
            <v>10.59-11.07</v>
          </cell>
          <cell r="C29" t="str">
            <v>Katie MacMillan, Seva Foundation</v>
          </cell>
          <cell r="E29" t="str">
            <v>11.05-11.15</v>
          </cell>
        </row>
        <row r="30">
          <cell r="A30" t="str">
            <v>11.07-11.15</v>
          </cell>
          <cell r="C30" t="str">
            <v>Rishi Borah, Orbis</v>
          </cell>
        </row>
        <row r="31">
          <cell r="E31" t="str">
            <v>BREAK: 15 mins</v>
          </cell>
        </row>
        <row r="32">
          <cell r="E32" t="str">
            <v>Session Time: 11.30-12.30 hrs</v>
          </cell>
        </row>
        <row r="33">
          <cell r="A33" t="str">
            <v>BREAK: 15 mins</v>
          </cell>
          <cell r="E33" t="str">
            <v>Course Name</v>
          </cell>
        </row>
        <row r="34">
          <cell r="A34" t="str">
            <v>Session Time: 11.30-12.30 hrs</v>
          </cell>
          <cell r="E34" t="str">
            <v>Course Objective</v>
          </cell>
        </row>
        <row r="35">
          <cell r="A35" t="str">
            <v>Course Name</v>
          </cell>
          <cell r="E35" t="str">
            <v>Chair</v>
          </cell>
        </row>
        <row r="36">
          <cell r="A36" t="str">
            <v>Course Objective</v>
          </cell>
          <cell r="E36" t="str">
            <v>Co-Chair</v>
          </cell>
        </row>
        <row r="37">
          <cell r="A37" t="str">
            <v>Chair</v>
          </cell>
          <cell r="E37" t="str">
            <v>Moderator</v>
          </cell>
        </row>
        <row r="38">
          <cell r="A38" t="str">
            <v>Co-Chair</v>
          </cell>
          <cell r="E38" t="str">
            <v>Time</v>
          </cell>
          <cell r="H38" t="str">
            <v>Speakers</v>
          </cell>
        </row>
        <row r="39">
          <cell r="A39" t="str">
            <v>Moderator</v>
          </cell>
          <cell r="E39" t="str">
            <v>11.30-11.50</v>
          </cell>
          <cell r="H39" t="str">
            <v>T P Das, LVPEI</v>
          </cell>
        </row>
        <row r="40">
          <cell r="A40" t="str">
            <v>Time</v>
          </cell>
          <cell r="C40" t="str">
            <v>Speakers</v>
          </cell>
          <cell r="E40" t="str">
            <v>11.50-12.30</v>
          </cell>
          <cell r="H40" t="str">
            <v>R Thulsiraj: Aravind Eye Care, Rohit Khanna: LVPEI, Umang Mathur: Dr. Shroff's Charity Eye Hospital, Dhivya Ramasamy: Aravind Eye Care , Rajesh Saini: Siliguri Greater Lions Eye Hospital, Radhika Krishnan: Shantilal Sanghvi Eye Institute, Praveen Vashisht, AIIMS</v>
          </cell>
        </row>
        <row r="41">
          <cell r="A41" t="str">
            <v>11.30-11.40</v>
          </cell>
          <cell r="C41" t="str">
            <v>Elizabeth Kurian, Mission For Vision</v>
          </cell>
          <cell r="E41" t="str">
            <v>BREAK: 10 mins</v>
          </cell>
        </row>
        <row r="42">
          <cell r="A42" t="str">
            <v>11.40-11.48</v>
          </cell>
          <cell r="C42" t="str">
            <v>Uday Gajiwala, Divyajyoti Trust</v>
          </cell>
          <cell r="E42" t="str">
            <v>Session Time: 12.40- 13.30 hrs</v>
          </cell>
        </row>
        <row r="43">
          <cell r="A43" t="str">
            <v>11.48-11.56</v>
          </cell>
          <cell r="C43" t="str">
            <v>Subeesh Kuyyadiyil, Sadguru Netra Chikitsalaya</v>
          </cell>
          <cell r="E43" t="str">
            <v>Course Name</v>
          </cell>
        </row>
        <row r="44">
          <cell r="A44" t="str">
            <v>11.56-12.04</v>
          </cell>
          <cell r="C44" t="str">
            <v>Sumitha Muthu, Narayana Nethralaya</v>
          </cell>
          <cell r="E44" t="str">
            <v>Course Objective</v>
          </cell>
        </row>
        <row r="45">
          <cell r="A45" t="str">
            <v>12.04-12.12</v>
          </cell>
          <cell r="C45" t="str">
            <v>Kunal Srivastava, EssilorLuxottica</v>
          </cell>
          <cell r="E45" t="str">
            <v>Chair</v>
          </cell>
        </row>
        <row r="46">
          <cell r="A46" t="str">
            <v>12.20-12.30</v>
          </cell>
          <cell r="C46" t="str">
            <v>Shajan Adolph, EssilorLuxottica</v>
          </cell>
          <cell r="E46" t="str">
            <v>Co Chair</v>
          </cell>
        </row>
        <row r="47">
          <cell r="A47" t="str">
            <v>BREAK: 10 mins</v>
          </cell>
          <cell r="E47" t="str">
            <v>Moderator</v>
          </cell>
        </row>
        <row r="48">
          <cell r="A48" t="str">
            <v>Session Time: 12.40-13.30 hrs</v>
          </cell>
          <cell r="E48" t="str">
            <v>Time</v>
          </cell>
          <cell r="H48" t="str">
            <v>Speakers</v>
          </cell>
        </row>
        <row r="49">
          <cell r="A49" t="str">
            <v>Course Name</v>
          </cell>
          <cell r="E49" t="str">
            <v>12.40-12.48</v>
          </cell>
          <cell r="H49" t="str">
            <v>Ujjal Dutta, Appasamy Associates</v>
          </cell>
        </row>
        <row r="50">
          <cell r="A50" t="str">
            <v>Course Objective</v>
          </cell>
          <cell r="E50" t="str">
            <v>12.48-12.56</v>
          </cell>
          <cell r="H50" t="str">
            <v>Deepa Krishnan, Aravind Eye Hospital</v>
          </cell>
        </row>
        <row r="51">
          <cell r="A51" t="str">
            <v>Chair</v>
          </cell>
          <cell r="E51" t="str">
            <v>12.56-13.04</v>
          </cell>
          <cell r="H51" t="str">
            <v>Katie MacMillan, Seva Foundation</v>
          </cell>
        </row>
        <row r="52">
          <cell r="A52" t="str">
            <v>Co Chair</v>
          </cell>
          <cell r="E52" t="str">
            <v>13.04- 13.12</v>
          </cell>
          <cell r="H52" t="str">
            <v>Bharath Balasubramaniam, Sankara Eye Foundation</v>
          </cell>
        </row>
        <row r="53">
          <cell r="A53" t="str">
            <v>Moderator</v>
          </cell>
          <cell r="E53" t="str">
            <v>13.12-13.20</v>
          </cell>
          <cell r="H53" t="str">
            <v>Vikharnan R., Aurolab Foundation</v>
          </cell>
        </row>
        <row r="54">
          <cell r="E54" t="str">
            <v>13.20 - 13.30</v>
          </cell>
        </row>
        <row r="55">
          <cell r="A55" t="str">
            <v>Time</v>
          </cell>
          <cell r="C55" t="str">
            <v>Speakers</v>
          </cell>
          <cell r="E55" t="str">
            <v>LUNCH: 13.30- 14.30 hrs</v>
          </cell>
        </row>
        <row r="56">
          <cell r="A56" t="str">
            <v>12.40-12.48</v>
          </cell>
          <cell r="C56" t="str">
            <v>Anusha Purushotham, Remedio</v>
          </cell>
          <cell r="E56" t="str">
            <v>14.30- 16.30 hrs</v>
          </cell>
        </row>
        <row r="57">
          <cell r="A57" t="str">
            <v>12.48-12.56</v>
          </cell>
          <cell r="C57" t="str">
            <v>Mohammad Gowth, Aravind  Eye Hospital</v>
          </cell>
        </row>
        <row r="58">
          <cell r="A58" t="str">
            <v>12.56-13.04</v>
          </cell>
          <cell r="C58" t="str">
            <v>Debananda Padhy , LVPEI</v>
          </cell>
        </row>
        <row r="59">
          <cell r="A59" t="str">
            <v>13.04-13.12</v>
          </cell>
          <cell r="C59" t="str">
            <v xml:space="preserve">Tridip Puzari, CT University </v>
          </cell>
        </row>
        <row r="60">
          <cell r="A60" t="str">
            <v>13.12-13.20</v>
          </cell>
          <cell r="C60" t="str">
            <v>Parikshit Gogate, Community eye care foundation</v>
          </cell>
        </row>
        <row r="61">
          <cell r="A61" t="str">
            <v>13.20-13.30</v>
          </cell>
        </row>
        <row r="62">
          <cell r="A62" t="str">
            <v>LUNCH: 13.30-14.30 hrs</v>
          </cell>
        </row>
        <row r="63">
          <cell r="A63" t="str">
            <v>14.30 to 15.30 hrs</v>
          </cell>
        </row>
        <row r="64">
          <cell r="A64" t="str">
            <v>Session Time: 14.30 to 15.30 hrs</v>
          </cell>
        </row>
        <row r="65">
          <cell r="A65" t="str">
            <v>Course Name</v>
          </cell>
        </row>
        <row r="66">
          <cell r="A66" t="str">
            <v>Course Objective</v>
          </cell>
        </row>
        <row r="67">
          <cell r="A67" t="str">
            <v>Chair</v>
          </cell>
        </row>
        <row r="68">
          <cell r="A68" t="str">
            <v>Co Chair</v>
          </cell>
        </row>
        <row r="69">
          <cell r="A69" t="str">
            <v>Moderator</v>
          </cell>
        </row>
        <row r="70">
          <cell r="A70" t="str">
            <v>Time</v>
          </cell>
          <cell r="C70" t="str">
            <v>Speaker</v>
          </cell>
        </row>
        <row r="71">
          <cell r="A71" t="str">
            <v>14.30-14.38</v>
          </cell>
          <cell r="C71" t="str">
            <v>Roche-TBD</v>
          </cell>
        </row>
        <row r="72">
          <cell r="A72" t="str">
            <v>14.38-14.46</v>
          </cell>
          <cell r="C72" t="str">
            <v>Anand , Remedio</v>
          </cell>
        </row>
        <row r="73">
          <cell r="A73" t="str">
            <v>14.46-14.54</v>
          </cell>
          <cell r="C73" t="str">
            <v>Sourav Pal, Forus</v>
          </cell>
        </row>
        <row r="74">
          <cell r="A74" t="str">
            <v>14.54-15.02</v>
          </cell>
          <cell r="C74" t="str">
            <v>S Venkatakrishnan, Forus</v>
          </cell>
        </row>
        <row r="75">
          <cell r="A75" t="str">
            <v>15.02-15.10</v>
          </cell>
          <cell r="C75" t="str">
            <v>Charuta J Puranik, Sujay Eye Hospital</v>
          </cell>
        </row>
        <row r="76">
          <cell r="A76" t="str">
            <v>15.10-15.18</v>
          </cell>
          <cell r="C76" t="str">
            <v>Bhargavi Murali, Vittalla International Institute Of Ophthalmology</v>
          </cell>
        </row>
        <row r="77">
          <cell r="A77" t="str">
            <v>15.18-15.26</v>
          </cell>
          <cell r="C77" t="str">
            <v>Sumit Grover, RP Centre, AIIMS</v>
          </cell>
        </row>
        <row r="78">
          <cell r="A78" t="str">
            <v>15.26-15.30</v>
          </cell>
        </row>
        <row r="79">
          <cell r="A79" t="str">
            <v>15.30- 16.30 hrs</v>
          </cell>
        </row>
        <row r="80">
          <cell r="A80" t="str">
            <v>BREAK: 15.30- 16.30 hrs</v>
          </cell>
        </row>
        <row r="81">
          <cell r="A81" t="str">
            <v>Common Session Time: 16.30 – 17.30 hrs
 NOTE: All sessions in all tracks get suspended</v>
          </cell>
        </row>
        <row r="82">
          <cell r="A82" t="str">
            <v>Course Name</v>
          </cell>
        </row>
        <row r="83">
          <cell r="A83" t="str">
            <v>Chair</v>
          </cell>
        </row>
        <row r="84">
          <cell r="A84" t="str">
            <v>Co-Chair</v>
          </cell>
        </row>
        <row r="85">
          <cell r="A85" t="str">
            <v>Moderator</v>
          </cell>
        </row>
        <row r="86">
          <cell r="A86" t="str">
            <v>Time</v>
          </cell>
          <cell r="C86" t="str">
            <v>Speakers</v>
          </cell>
        </row>
        <row r="95">
          <cell r="A95" t="str">
            <v>BREAK: 17.30- 18.00 hrs</v>
          </cell>
        </row>
        <row r="96">
          <cell r="A96" t="str">
            <v>18.00 hrs</v>
          </cell>
        </row>
        <row r="97">
          <cell r="A97" t="str">
            <v xml:space="preserve">Dinner </v>
          </cell>
        </row>
      </sheetData>
      <sheetData sheetId="6">
        <row r="1">
          <cell r="A1" t="str">
            <v>INNOVATION, COLLABORATION AND IMPACT IN EYE CARE: VISION FOR VIKSIT BHARAT 2047
 11 – 12 July 2026 (Saturday and Sunday)
 Track 2: Collaboration for Universal Eye health</v>
          </cell>
          <cell r="F1" t="str">
            <v>INNOVATION, COLLABORATION AND IMPACT IN EYE CARE: VISION FOR VIKSIT BHARAT 2047
 11 – 12 July 2026 (Saturday and Sunday)
 Track 2: Collaboration for Universal Eye health</v>
          </cell>
        </row>
        <row r="2">
          <cell r="A2" t="str">
            <v>Day 1: Saturday, 11 July 2026                                 Venue: Sankara Eye Foundation</v>
          </cell>
          <cell r="F2" t="str">
            <v>Day 2: Sunday , 12 July 2026                                     Venue: Sankara Eye Foundation</v>
          </cell>
        </row>
        <row r="3">
          <cell r="A3" t="str">
            <v>Session Time: 09.00 – 10.00 hrs</v>
          </cell>
          <cell r="F3" t="str">
            <v>Session Time: 09.00 – 10.00 hrs</v>
          </cell>
        </row>
        <row r="4">
          <cell r="A4" t="str">
            <v>Course Name</v>
          </cell>
          <cell r="F4" t="str">
            <v>Course Name</v>
          </cell>
        </row>
        <row r="5">
          <cell r="A5" t="str">
            <v>Course Objective</v>
          </cell>
          <cell r="F5" t="str">
            <v>Course Objective</v>
          </cell>
        </row>
        <row r="6">
          <cell r="A6" t="str">
            <v>Chair</v>
          </cell>
          <cell r="F6" t="str">
            <v>Chair</v>
          </cell>
        </row>
        <row r="7">
          <cell r="A7" t="str">
            <v>Co Chair</v>
          </cell>
          <cell r="F7" t="str">
            <v>Co Chair</v>
          </cell>
        </row>
        <row r="8">
          <cell r="A8" t="str">
            <v>Moderator</v>
          </cell>
          <cell r="F8" t="str">
            <v>Moderator</v>
          </cell>
        </row>
        <row r="9">
          <cell r="A9" t="str">
            <v>Time</v>
          </cell>
          <cell r="D9" t="str">
            <v>Speakers</v>
          </cell>
          <cell r="F9" t="str">
            <v>Time</v>
          </cell>
          <cell r="I9" t="str">
            <v>Speakers</v>
          </cell>
        </row>
        <row r="10">
          <cell r="A10" t="str">
            <v>09.00 – 09.12 hrs</v>
          </cell>
          <cell r="D10" t="str">
            <v>Bhushan Punani, Blind Peoples Association</v>
          </cell>
          <cell r="F10" t="str">
            <v>09.00 – 09.12 hrs</v>
          </cell>
          <cell r="I10" t="str">
            <v xml:space="preserve">Subeesh, Sadguru Netraseva Trust </v>
          </cell>
        </row>
        <row r="11">
          <cell r="A11" t="str">
            <v>09.12 – 09.24 hrs</v>
          </cell>
          <cell r="D11" t="str">
            <v>Sarangadhar Samal, Kalinga Eye Hospital</v>
          </cell>
          <cell r="F11" t="str">
            <v>09.12 – 09.24 hrs</v>
          </cell>
          <cell r="I11" t="str">
            <v xml:space="preserve">Nandini Rawal, Blind Peoples Association </v>
          </cell>
        </row>
        <row r="12">
          <cell r="A12" t="str">
            <v>09.24 – 09.36 hrs</v>
          </cell>
          <cell r="D12" t="str">
            <v xml:space="preserve">Uma Bharathi Vunnam, Seva Foundaiton </v>
          </cell>
          <cell r="F12" t="str">
            <v>09.24 – 09.36 hrs</v>
          </cell>
          <cell r="I12" t="str">
            <v>Lopamudra Sanyal, Cure Blindness Project</v>
          </cell>
        </row>
        <row r="13">
          <cell r="A13" t="str">
            <v>09.36 – 09.48 hrs</v>
          </cell>
          <cell r="D13" t="str">
            <v xml:space="preserve">Kuldeep Dole, HV Desai Eye Hospital </v>
          </cell>
          <cell r="F13" t="str">
            <v>09.36 – 09.48 hrs</v>
          </cell>
          <cell r="I13" t="str">
            <v xml:space="preserve">Sunil Kumar Mishra, Saishree Eye Hospital </v>
          </cell>
        </row>
        <row r="14">
          <cell r="A14" t="str">
            <v>09.48 – 10.00 hrs</v>
          </cell>
          <cell r="D14" t="str">
            <v xml:space="preserve">Mohammed Gowth.A, Aravind Eye Hospital </v>
          </cell>
          <cell r="F14" t="str">
            <v>09.48 – 10.00 hrs</v>
          </cell>
          <cell r="I14" t="str">
            <v xml:space="preserve">Padma Paul, CMC, Vellore </v>
          </cell>
        </row>
        <row r="15">
          <cell r="A15" t="str">
            <v>BREAK: 15 mins</v>
          </cell>
          <cell r="F15" t="str">
            <v>BREAK: 15 mins</v>
          </cell>
        </row>
        <row r="16">
          <cell r="A16" t="str">
            <v>Session Time: 10.15 – 11.15 hrs</v>
          </cell>
          <cell r="F16" t="str">
            <v>Session Time: 10.15 – 11.15 hrs</v>
          </cell>
        </row>
        <row r="17">
          <cell r="A17" t="str">
            <v>Course Name</v>
          </cell>
          <cell r="F17" t="str">
            <v>Course Name</v>
          </cell>
        </row>
        <row r="18">
          <cell r="A18" t="str">
            <v>Course Objective</v>
          </cell>
          <cell r="F18" t="str">
            <v>Course Objective</v>
          </cell>
        </row>
        <row r="19">
          <cell r="A19" t="str">
            <v>Chair</v>
          </cell>
          <cell r="F19" t="str">
            <v>Chair</v>
          </cell>
        </row>
        <row r="20">
          <cell r="A20" t="str">
            <v>Co Chair</v>
          </cell>
          <cell r="F20" t="str">
            <v>Co Chair</v>
          </cell>
        </row>
        <row r="21">
          <cell r="A21" t="str">
            <v>Moderator</v>
          </cell>
          <cell r="F21" t="str">
            <v>Moderator</v>
          </cell>
        </row>
        <row r="22">
          <cell r="A22" t="str">
            <v>Time</v>
          </cell>
          <cell r="D22" t="str">
            <v>Speakers</v>
          </cell>
          <cell r="F22" t="str">
            <v>Time</v>
          </cell>
          <cell r="I22" t="str">
            <v>Speakers</v>
          </cell>
        </row>
        <row r="23">
          <cell r="A23" t="str">
            <v>10.15 – 10.27 hrs</v>
          </cell>
          <cell r="D23" t="str">
            <v xml:space="preserve">Anika Amritanand, CMC, Vellore </v>
          </cell>
          <cell r="F23" t="str">
            <v>10.15 – 10.27 hrs</v>
          </cell>
          <cell r="I23" t="str">
            <v>Elesh Jain, Shri Sadguru Seva Sangh Trust</v>
          </cell>
        </row>
        <row r="24">
          <cell r="A24" t="str">
            <v>10.27 – 10.39 hrs</v>
          </cell>
          <cell r="D24" t="str">
            <v>Rohan Chariwala, Shubham Netraseva trust</v>
          </cell>
          <cell r="F24" t="str">
            <v>10.27 – 10.39 hrs</v>
          </cell>
          <cell r="I24" t="str">
            <v xml:space="preserve">Rahul Deshpande, HV Desai Eye Hospital </v>
          </cell>
        </row>
        <row r="25">
          <cell r="A25" t="str">
            <v>10.39 – 10.51 hrs</v>
          </cell>
          <cell r="D25" t="str">
            <v xml:space="preserve">Sibaprasad Sahoo, Trilochan Netralaya </v>
          </cell>
          <cell r="F25" t="str">
            <v>10.39 – 10.51 hrs</v>
          </cell>
          <cell r="I25" t="str">
            <v>Asim Sil, Vivekananda Mission Ashram, VMANNN</v>
          </cell>
        </row>
        <row r="26">
          <cell r="A26" t="str">
            <v>10.51 – 11.03 hrs</v>
          </cell>
          <cell r="D26" t="str">
            <v>R. Meenakshi Sundaram, Arvind Eye Care</v>
          </cell>
          <cell r="F26" t="str">
            <v>10.51 – 11.03 hrs</v>
          </cell>
          <cell r="I26" t="str">
            <v xml:space="preserve">Bhushan Punani, Blind Peoples Association </v>
          </cell>
        </row>
        <row r="27">
          <cell r="A27" t="str">
            <v>11.03 – 11.15 hrs</v>
          </cell>
          <cell r="D27" t="str">
            <v xml:space="preserve">Subeesh, Sadguru Netraseva Trust </v>
          </cell>
          <cell r="F27" t="str">
            <v>11.03 – 11.15 hrs</v>
          </cell>
          <cell r="I27" t="str">
            <v>Elizabeth Kurian, Mission for Vision</v>
          </cell>
        </row>
        <row r="28">
          <cell r="A28" t="str">
            <v>BREAK: 15 mins</v>
          </cell>
          <cell r="F28" t="str">
            <v>BREAK: 15 mins</v>
          </cell>
        </row>
        <row r="29">
          <cell r="A29" t="str">
            <v>Session Time: 11.30 -12.30 hrs</v>
          </cell>
          <cell r="F29" t="str">
            <v>Session Time: 11.30- 12.30 hrs</v>
          </cell>
        </row>
        <row r="30">
          <cell r="A30" t="str">
            <v>Course Name</v>
          </cell>
          <cell r="F30" t="str">
            <v>Course Name</v>
          </cell>
        </row>
        <row r="31">
          <cell r="A31" t="str">
            <v>Course Objective</v>
          </cell>
          <cell r="F31" t="str">
            <v>Course Objective</v>
          </cell>
        </row>
        <row r="32">
          <cell r="A32" t="str">
            <v>Chair</v>
          </cell>
          <cell r="F32" t="str">
            <v>Chair</v>
          </cell>
        </row>
        <row r="33">
          <cell r="A33" t="str">
            <v>Co Chair</v>
          </cell>
          <cell r="F33" t="str">
            <v>Co Chair</v>
          </cell>
        </row>
        <row r="34">
          <cell r="A34" t="str">
            <v>Moderator</v>
          </cell>
          <cell r="F34" t="str">
            <v>Moderator</v>
          </cell>
        </row>
        <row r="35">
          <cell r="A35" t="str">
            <v>Time</v>
          </cell>
          <cell r="D35" t="str">
            <v>Speakers</v>
          </cell>
          <cell r="F35" t="str">
            <v>Time</v>
          </cell>
          <cell r="I35" t="str">
            <v>Speakers</v>
          </cell>
        </row>
        <row r="36">
          <cell r="A36" t="str">
            <v>11.30 – 11.42 hrs</v>
          </cell>
          <cell r="D36" t="str">
            <v>Rajesh Saini, Siliguri Greater Lions Eye Hospital</v>
          </cell>
          <cell r="F36" t="str">
            <v>11.30 – 11.42 hrs</v>
          </cell>
          <cell r="I36" t="str">
            <v>Shradha Nitnaware, Seva Foundation</v>
          </cell>
        </row>
        <row r="37">
          <cell r="A37" t="str">
            <v>11.42 – 11.54 hrs</v>
          </cell>
          <cell r="D37" t="str">
            <v>Akbar Mehfuz Alam, Sightsavers India</v>
          </cell>
          <cell r="F37" t="str">
            <v>11.42 – 11.54 hrs</v>
          </cell>
          <cell r="I37" t="str">
            <v>Uday Gajiwala, Divyajyoti Trust</v>
          </cell>
        </row>
        <row r="38">
          <cell r="A38" t="str">
            <v>11.54 – 12.06 hrs</v>
          </cell>
          <cell r="D38" t="str">
            <v xml:space="preserve">Dr. Col. M. Deshpande, </v>
          </cell>
          <cell r="F38" t="str">
            <v>11.54 – 12.06 hrs</v>
          </cell>
          <cell r="I38" t="str">
            <v xml:space="preserve">Anant Sahoo, Sightsaver India </v>
          </cell>
        </row>
        <row r="39">
          <cell r="A39" t="str">
            <v>12.06 – 12.18 hrs</v>
          </cell>
          <cell r="D39" t="str">
            <v>Dhivya Ramasamy, Aravind Eye Care</v>
          </cell>
          <cell r="F39" t="str">
            <v>12.06 – 12.18 hrs</v>
          </cell>
          <cell r="I39" t="str">
            <v xml:space="preserve">V. Rajshekar, LV Prasad Eye Institute </v>
          </cell>
        </row>
        <row r="40">
          <cell r="A40" t="str">
            <v>12.18 – 12.30 hrs</v>
          </cell>
          <cell r="D40" t="str">
            <v>Arun Acharya, Seva Foundation</v>
          </cell>
          <cell r="F40" t="str">
            <v>12.18 – 12.30 hrs</v>
          </cell>
          <cell r="I40" t="str">
            <v>Nirav Mehta, Rotary Eye Institute, Navsari</v>
          </cell>
        </row>
        <row r="41">
          <cell r="A41" t="str">
            <v>BREAK: 10 mins</v>
          </cell>
          <cell r="F41" t="str">
            <v>BREAK: 10 mins</v>
          </cell>
        </row>
        <row r="42">
          <cell r="A42" t="str">
            <v>Session Time: 12.40 -13.30 hrs</v>
          </cell>
          <cell r="F42" t="str">
            <v>Session Time: 12.40 - 13.30 hrs</v>
          </cell>
        </row>
        <row r="43">
          <cell r="A43" t="str">
            <v>Course Name</v>
          </cell>
          <cell r="F43" t="str">
            <v>Course Name</v>
          </cell>
        </row>
        <row r="44">
          <cell r="A44" t="str">
            <v>Course Objective</v>
          </cell>
          <cell r="F44" t="str">
            <v>Course Objective</v>
          </cell>
        </row>
        <row r="45">
          <cell r="A45" t="str">
            <v>Chair</v>
          </cell>
          <cell r="F45" t="str">
            <v>Chair</v>
          </cell>
        </row>
        <row r="46">
          <cell r="A46" t="str">
            <v>Co Chair</v>
          </cell>
          <cell r="F46" t="str">
            <v>Co Chair</v>
          </cell>
        </row>
        <row r="47">
          <cell r="A47" t="str">
            <v>Moderator</v>
          </cell>
          <cell r="F47" t="str">
            <v>Moderator</v>
          </cell>
        </row>
        <row r="48">
          <cell r="A48" t="str">
            <v>Time</v>
          </cell>
          <cell r="D48" t="str">
            <v>Speakers</v>
          </cell>
          <cell r="F48" t="str">
            <v>Time</v>
          </cell>
          <cell r="I48" t="str">
            <v>Speakers</v>
          </cell>
        </row>
        <row r="49">
          <cell r="A49" t="str">
            <v>12.40 – 12.50 hrs</v>
          </cell>
          <cell r="D49" t="str">
            <v>Aparnaa Chandrasekhar, NPCBVI, Delhi</v>
          </cell>
          <cell r="F49" t="str">
            <v>12.40 – 12.50 hrs</v>
          </cell>
          <cell r="I49" t="str">
            <v>Uday Gajiwala, Divyajyoti Trust</v>
          </cell>
        </row>
        <row r="50">
          <cell r="A50" t="str">
            <v>12.50 – 01.00 hrs</v>
          </cell>
          <cell r="D50" t="str">
            <v xml:space="preserve">Kuldeep Singh, Seva Foundation </v>
          </cell>
          <cell r="F50" t="str">
            <v>12.50 – 01.00 hrs</v>
          </cell>
          <cell r="I50" t="str">
            <v xml:space="preserve">Kaushik Murali, Sankara Eye Institute </v>
          </cell>
        </row>
        <row r="51">
          <cell r="A51" t="str">
            <v>01.00 – 01.10 hrs</v>
          </cell>
          <cell r="D51" t="str">
            <v xml:space="preserve">Sabitra Kundu, Mission for Vision </v>
          </cell>
          <cell r="F51" t="str">
            <v>01.00 – 01.10 hrs</v>
          </cell>
          <cell r="I51" t="str">
            <v xml:space="preserve">Amrit Kumar, Affiliation:Indian School of Business, Deloitte </v>
          </cell>
        </row>
        <row r="52">
          <cell r="A52" t="str">
            <v>01.10 – 01.20 hrs</v>
          </cell>
          <cell r="D52" t="str">
            <v xml:space="preserve">Sheethal Sasi, SIghtsavers India </v>
          </cell>
          <cell r="F52" t="str">
            <v>01.10 – 01.20 hrs</v>
          </cell>
          <cell r="I52" t="str">
            <v>Rahul Kumar,Orbis International</v>
          </cell>
        </row>
        <row r="53">
          <cell r="A53" t="str">
            <v>01.20 – 01.30 hrs</v>
          </cell>
          <cell r="D53" t="str">
            <v xml:space="preserve">Jatin Tiwari, Sightsaver India </v>
          </cell>
          <cell r="F53" t="str">
            <v>01.20 – 01.30 hrs</v>
          </cell>
          <cell r="I53" t="str">
            <v>Ganesh Babu , Aravind Eye Care</v>
          </cell>
        </row>
        <row r="54">
          <cell r="A54" t="str">
            <v>LUNCH: 13.30-14.30 hrs</v>
          </cell>
          <cell r="F54" t="str">
            <v>LUNCH: 13.30- 14.30 hrs</v>
          </cell>
        </row>
        <row r="55">
          <cell r="A55" t="str">
            <v>01.30 – 14.30 hrs</v>
          </cell>
          <cell r="F55" t="str">
            <v>14.30- 16.30 hrs</v>
          </cell>
        </row>
        <row r="56">
          <cell r="A56" t="str">
            <v>Session Time: 14.30 to 15.30 hrs</v>
          </cell>
        </row>
        <row r="57">
          <cell r="A57" t="str">
            <v>Course Name</v>
          </cell>
        </row>
        <row r="58">
          <cell r="A58" t="str">
            <v>Course Objective</v>
          </cell>
        </row>
        <row r="59">
          <cell r="A59" t="str">
            <v>Chair</v>
          </cell>
        </row>
        <row r="60">
          <cell r="A60" t="str">
            <v>Co Chair</v>
          </cell>
        </row>
        <row r="61">
          <cell r="A61" t="str">
            <v>Moderator</v>
          </cell>
        </row>
        <row r="62">
          <cell r="A62" t="str">
            <v>Time</v>
          </cell>
          <cell r="D62" t="str">
            <v>Speakers</v>
          </cell>
        </row>
        <row r="63">
          <cell r="A63" t="str">
            <v>14.30 - 14.33</v>
          </cell>
          <cell r="D63" t="str">
            <v>Indra P Sharma</v>
          </cell>
        </row>
        <row r="64">
          <cell r="A64" t="str">
            <v>14.33 - 14.43</v>
          </cell>
          <cell r="D64" t="str">
            <v>Peter Holland, IAPB</v>
          </cell>
        </row>
        <row r="65">
          <cell r="A65" t="str">
            <v>14.43 - 14.50</v>
          </cell>
          <cell r="D65" t="str">
            <v>Y D Sapkota, IAPB</v>
          </cell>
        </row>
        <row r="66">
          <cell r="A66" t="str">
            <v>14.50-15.20</v>
          </cell>
          <cell r="D66" t="str">
            <v>IAPB Team</v>
          </cell>
        </row>
        <row r="67">
          <cell r="A67" t="str">
            <v>15.20-15.25</v>
          </cell>
          <cell r="D67" t="str">
            <v>Prerna Puri, IAPB (Facilitator)</v>
          </cell>
        </row>
        <row r="68">
          <cell r="A68" t="str">
            <v>15.25 - 15.30</v>
          </cell>
          <cell r="D68" t="str">
            <v>Rohit Khanna, LVPEI</v>
          </cell>
        </row>
        <row r="69">
          <cell r="A69" t="str">
            <v>15.30- 16.30 hrs</v>
          </cell>
        </row>
        <row r="70">
          <cell r="A70" t="str">
            <v>BREAK: 15.30- 16.30 hrs</v>
          </cell>
        </row>
        <row r="71">
          <cell r="A71" t="str">
            <v>Common Session Time: 16.30 – 17.30 hrs
 NOTE: All sessions in all tracks get suspended</v>
          </cell>
        </row>
        <row r="72">
          <cell r="A72" t="str">
            <v>Course Name</v>
          </cell>
        </row>
        <row r="73">
          <cell r="A73" t="str">
            <v>Chair</v>
          </cell>
        </row>
        <row r="74">
          <cell r="A74" t="str">
            <v>Co Chair</v>
          </cell>
        </row>
        <row r="75">
          <cell r="A75" t="str">
            <v>Moderator</v>
          </cell>
        </row>
        <row r="76">
          <cell r="A76" t="str">
            <v>Time</v>
          </cell>
          <cell r="D76" t="str">
            <v>Speakers</v>
          </cell>
        </row>
        <row r="84">
          <cell r="A84" t="str">
            <v>BREAK: 17.30- 18.00 hrs</v>
          </cell>
        </row>
        <row r="85">
          <cell r="A85" t="str">
            <v>18.00 hrs</v>
          </cell>
        </row>
        <row r="86">
          <cell r="A86" t="str">
            <v xml:space="preserve">Dinner </v>
          </cell>
        </row>
      </sheetData>
      <sheetData sheetId="7">
        <row r="1">
          <cell r="A1" t="str">
            <v>INNOVATION, COLLABORATION AND IMPACT IN EYE CARE: VISION FOR VIKSIT BHARAT 2047
 11 – 12 July 2026 (Saturday and Sunday)
 Track 3: Impact, Equity, Sustainability and Quality in eye care</v>
          </cell>
          <cell r="F1" t="str">
            <v>INNOVATION, COLLABORATION AND IMPACT IN EYE CARE: VISION FOR VIKSIT BHARAT 2047
 11 – 12 July 2026 (Saturday and Sunday)
 Track 3: Impact, Equity, Sustainability and Quality in eye care</v>
          </cell>
        </row>
        <row r="2">
          <cell r="A2" t="str">
            <v>Day 1: Saturday, 11 July 2026                                             Venue: Sankara Eye Foundation</v>
          </cell>
          <cell r="F2" t="str">
            <v>Day 2: Sunday, 12 July 2026                                                Venue: Sankara Eye Foundation</v>
          </cell>
        </row>
        <row r="3">
          <cell r="A3" t="str">
            <v>Session Time: 09.00 – 10.00 hrs</v>
          </cell>
          <cell r="F3" t="str">
            <v>Session Time: 09.00 – 10.00 hrs</v>
          </cell>
        </row>
        <row r="4">
          <cell r="A4" t="str">
            <v>Course Name</v>
          </cell>
          <cell r="F4" t="str">
            <v>Course Name</v>
          </cell>
        </row>
        <row r="5">
          <cell r="A5" t="str">
            <v>Course Objective</v>
          </cell>
          <cell r="F5" t="str">
            <v>Course Objective</v>
          </cell>
        </row>
        <row r="6">
          <cell r="A6" t="str">
            <v>Chair</v>
          </cell>
          <cell r="F6" t="str">
            <v>Chair</v>
          </cell>
        </row>
        <row r="7">
          <cell r="A7" t="str">
            <v>Co Chair</v>
          </cell>
          <cell r="F7" t="str">
            <v>Co-Chair</v>
          </cell>
        </row>
        <row r="8">
          <cell r="A8" t="str">
            <v>Moderator</v>
          </cell>
          <cell r="F8" t="str">
            <v>Moderator</v>
          </cell>
        </row>
        <row r="9">
          <cell r="A9" t="str">
            <v>Time</v>
          </cell>
          <cell r="D9" t="str">
            <v>Speakers</v>
          </cell>
          <cell r="F9" t="str">
            <v>Time</v>
          </cell>
          <cell r="I9" t="str">
            <v>Speakers</v>
          </cell>
        </row>
        <row r="10">
          <cell r="A10" t="str">
            <v>9:00-9:10</v>
          </cell>
          <cell r="D10" t="str">
            <v>KV Venugopal, Sankar Foundation Eye Hospital</v>
          </cell>
          <cell r="F10" t="str">
            <v>9:00-9:10</v>
          </cell>
          <cell r="I10" t="str">
            <v>Rishi Borah, Orbis International</v>
          </cell>
        </row>
        <row r="11">
          <cell r="A11" t="str">
            <v>9:10-9:20</v>
          </cell>
          <cell r="D11" t="str">
            <v>Umang Mathur, Dr. Shroff's Charity Eye Hospital</v>
          </cell>
          <cell r="F11" t="str">
            <v>9:10-9:20</v>
          </cell>
          <cell r="I11" t="str">
            <v>Uday Gajjiwala, Divyajyoti Trust</v>
          </cell>
        </row>
        <row r="12">
          <cell r="A12" t="str">
            <v>9:20-9:30</v>
          </cell>
          <cell r="D12" t="str">
            <v>Asim Sil, Vivekananda Mission Ashram, VMANNN</v>
          </cell>
          <cell r="F12" t="str">
            <v>9:20-9:30</v>
          </cell>
          <cell r="I12" t="str">
            <v>Vengaedesan, Aravind Eye Hospital, Pondicherry</v>
          </cell>
        </row>
        <row r="13">
          <cell r="A13" t="str">
            <v>9:30-9:40</v>
          </cell>
          <cell r="D13" t="str">
            <v>Satish Naggapan, CBM</v>
          </cell>
          <cell r="F13" t="str">
            <v>9:30- 9:40</v>
          </cell>
          <cell r="I13" t="str">
            <v>Manoj Edakatil, LVPEI</v>
          </cell>
        </row>
        <row r="14">
          <cell r="A14" t="str">
            <v>9:40-9:50</v>
          </cell>
          <cell r="D14" t="str">
            <v>G V Rao, Tulsi Eye Hospital</v>
          </cell>
          <cell r="F14" t="str">
            <v>9:40-10:00</v>
          </cell>
        </row>
        <row r="15">
          <cell r="A15" t="str">
            <v>9:50-10:00</v>
          </cell>
          <cell r="D15" t="str">
            <v>Thomas Cherian, Little Flower Hospital &amp; Research Centre</v>
          </cell>
        </row>
        <row r="16">
          <cell r="F16" t="str">
            <v>BREAK: 15 mins</v>
          </cell>
        </row>
        <row r="17">
          <cell r="A17" t="str">
            <v>BREAK: 15 mins</v>
          </cell>
          <cell r="F17" t="str">
            <v>Session Time: 10.15 – 11.15 hrs</v>
          </cell>
        </row>
        <row r="18">
          <cell r="A18" t="str">
            <v>Session Time: 10.15 – 11.15 hrs</v>
          </cell>
          <cell r="F18" t="str">
            <v>Course Name</v>
          </cell>
        </row>
        <row r="19">
          <cell r="A19" t="str">
            <v>Course Name</v>
          </cell>
          <cell r="F19" t="str">
            <v>Course Objective</v>
          </cell>
        </row>
        <row r="20">
          <cell r="A20" t="str">
            <v>Course Objective</v>
          </cell>
          <cell r="F20" t="str">
            <v>Chair</v>
          </cell>
        </row>
        <row r="21">
          <cell r="A21" t="str">
            <v>Chair</v>
          </cell>
          <cell r="F21" t="str">
            <v>Co Chair</v>
          </cell>
        </row>
        <row r="22">
          <cell r="A22" t="str">
            <v>Co Chair</v>
          </cell>
          <cell r="F22" t="str">
            <v>Moderator</v>
          </cell>
        </row>
        <row r="23">
          <cell r="A23" t="str">
            <v>Moderator</v>
          </cell>
          <cell r="F23" t="str">
            <v>Time</v>
          </cell>
          <cell r="I23" t="str">
            <v>Speakers</v>
          </cell>
        </row>
        <row r="24">
          <cell r="A24" t="str">
            <v>Time</v>
          </cell>
          <cell r="D24" t="str">
            <v>Speakers</v>
          </cell>
          <cell r="F24" t="str">
            <v>10:15-10:21</v>
          </cell>
          <cell r="I24" t="str">
            <v>Rohit Khanna, LVPEI</v>
          </cell>
        </row>
        <row r="25">
          <cell r="A25" t="str">
            <v>10:15-10:30</v>
          </cell>
          <cell r="D25" t="str">
            <v>Anand Vinekar, Narayana Nethralaya</v>
          </cell>
          <cell r="F25" t="str">
            <v>10:21-10:27</v>
          </cell>
          <cell r="I25" t="str">
            <v>Harpreet Kapoor, CBM</v>
          </cell>
        </row>
        <row r="26">
          <cell r="A26" t="str">
            <v>10:30-11:15</v>
          </cell>
          <cell r="D26" t="str">
            <v>Panelist: Tapas Ranjan Padhi (LVPEI), Shalini (Dr. Shroff's Charity Eye Hospital), Vishal (PVRI), Sucheta Kulkarni (Bharati Vidyapeeth Medical Collge and Hospital), KMK Rajendran, Forus</v>
          </cell>
          <cell r="F26" t="str">
            <v>10:27:10:33</v>
          </cell>
          <cell r="I26" t="str">
            <v>Praveen Vashisht, R P Centre, AIIMS Delhi</v>
          </cell>
        </row>
        <row r="27">
          <cell r="A27" t="str">
            <v>BREAK: 15 mins</v>
          </cell>
          <cell r="F27" t="str">
            <v>10:33-10:39</v>
          </cell>
          <cell r="I27" t="str">
            <v>Deepti Shabang, St. John`s Medical College</v>
          </cell>
        </row>
        <row r="28">
          <cell r="A28" t="str">
            <v>Session Time: 11.30 - 12.30 hrs</v>
          </cell>
          <cell r="F28" t="str">
            <v>10:39-10:45</v>
          </cell>
          <cell r="I28" t="str">
            <v>Nandini Rawal, Blind People's Association</v>
          </cell>
        </row>
        <row r="29">
          <cell r="A29" t="str">
            <v>Course Name</v>
          </cell>
          <cell r="F29" t="str">
            <v>10:45-11:10</v>
          </cell>
          <cell r="I29" t="str">
            <v>Panelist: Rajesh Saini, Sony Thomas,Praveen Vashisht,  Rohit Khanna Moderator: Nandini Rawal</v>
          </cell>
        </row>
        <row r="30">
          <cell r="A30" t="str">
            <v>Course Objective</v>
          </cell>
          <cell r="F30" t="str">
            <v>11:10-11:15</v>
          </cell>
          <cell r="I30" t="str">
            <v>Ravi Ranganathan, CBM</v>
          </cell>
        </row>
        <row r="31">
          <cell r="A31" t="str">
            <v>Chair</v>
          </cell>
          <cell r="F31" t="str">
            <v>BREAK: 15 mins</v>
          </cell>
        </row>
        <row r="32">
          <cell r="A32" t="str">
            <v>Co-Chair</v>
          </cell>
          <cell r="F32" t="str">
            <v>Session Time: 11.30- 12.30 hrs</v>
          </cell>
        </row>
        <row r="33">
          <cell r="A33" t="str">
            <v>Moderator</v>
          </cell>
          <cell r="F33" t="str">
            <v>Course Name</v>
          </cell>
        </row>
        <row r="34">
          <cell r="A34" t="str">
            <v>Time</v>
          </cell>
          <cell r="D34" t="str">
            <v>Speakers</v>
          </cell>
          <cell r="F34" t="str">
            <v>Course Objective</v>
          </cell>
        </row>
        <row r="35">
          <cell r="A35" t="str">
            <v>11:30-11:45</v>
          </cell>
          <cell r="D35" t="str">
            <v>B K Rana, Quality &amp; Accredition Institute</v>
          </cell>
          <cell r="F35" t="str">
            <v>Chair</v>
          </cell>
        </row>
        <row r="36">
          <cell r="A36" t="str">
            <v>11:45-11:55</v>
          </cell>
          <cell r="D36" t="str">
            <v>Arnab Sarkar, Akhand Jyoti Eye Hospital</v>
          </cell>
          <cell r="F36" t="str">
            <v>Co Chair</v>
          </cell>
        </row>
        <row r="37">
          <cell r="A37" t="str">
            <v>11:55-12:05</v>
          </cell>
          <cell r="D37" t="str">
            <v>Harpreet Kapoor, CBM</v>
          </cell>
          <cell r="F37" t="str">
            <v>Moderator</v>
          </cell>
        </row>
        <row r="38">
          <cell r="A38" t="str">
            <v>12:05-12:15</v>
          </cell>
          <cell r="D38" t="str">
            <v>Joseph Mollah, Siliguri Greater Lions Eye Hospital</v>
          </cell>
          <cell r="F38" t="str">
            <v>Time</v>
          </cell>
          <cell r="I38" t="str">
            <v>Speakers</v>
          </cell>
        </row>
        <row r="39">
          <cell r="A39" t="str">
            <v>12:15-12:25</v>
          </cell>
          <cell r="D39" t="str">
            <v>Mohammad Gowth, Aravind  Eye Hospital</v>
          </cell>
          <cell r="F39" t="str">
            <v>11:30-11:40</v>
          </cell>
          <cell r="I39" t="str">
            <v>Padma Paul, CMC Vellore</v>
          </cell>
        </row>
        <row r="40">
          <cell r="A40" t="str">
            <v>12:25-12:30</v>
          </cell>
          <cell r="F40" t="str">
            <v>11:40-11:50</v>
          </cell>
          <cell r="I40" t="str">
            <v>Radhika Krishnan, Shantilal Sanghvi Eye Institute</v>
          </cell>
        </row>
        <row r="41">
          <cell r="A41" t="str">
            <v>BREAK: 10 mins</v>
          </cell>
          <cell r="F41" t="str">
            <v>11:50-12:00</v>
          </cell>
          <cell r="I41" t="str">
            <v>Anika Amritanand, CMC Vellore</v>
          </cell>
        </row>
        <row r="42">
          <cell r="A42" t="str">
            <v>Session Time: 12.40 - 13.30 hrs</v>
          </cell>
          <cell r="F42" t="str">
            <v>12:00-12:10</v>
          </cell>
          <cell r="I42" t="str">
            <v>Ajit Poddar, Akhand Jyoti Eye Hospital</v>
          </cell>
        </row>
        <row r="43">
          <cell r="A43" t="str">
            <v>Course Name</v>
          </cell>
          <cell r="F43" t="str">
            <v>12:10-12:20</v>
          </cell>
          <cell r="I43" t="str">
            <v>Prathibha Obed, CMC Vellore</v>
          </cell>
        </row>
        <row r="44">
          <cell r="A44" t="str">
            <v>Course Objective</v>
          </cell>
          <cell r="F44" t="str">
            <v>12:20-12:30</v>
          </cell>
          <cell r="I44" t="str">
            <v>Sangeeta Lavaniya, Dr. Shroff's Charity eye Hospital</v>
          </cell>
        </row>
        <row r="45">
          <cell r="A45" t="str">
            <v>Chair</v>
          </cell>
          <cell r="F45" t="str">
            <v>BREAK: 10 mins</v>
          </cell>
        </row>
        <row r="46">
          <cell r="A46" t="str">
            <v>Co chair</v>
          </cell>
          <cell r="F46" t="str">
            <v>Session Time: 12.40 - 13.30 hrs</v>
          </cell>
        </row>
        <row r="47">
          <cell r="A47" t="str">
            <v>Moderator</v>
          </cell>
          <cell r="F47" t="str">
            <v>Course Name</v>
          </cell>
        </row>
        <row r="48">
          <cell r="A48" t="str">
            <v>Time</v>
          </cell>
          <cell r="D48" t="str">
            <v>Speakers</v>
          </cell>
          <cell r="F48" t="str">
            <v xml:space="preserve">Course Objective </v>
          </cell>
        </row>
        <row r="49">
          <cell r="A49" t="str">
            <v>12:40-12:50</v>
          </cell>
          <cell r="D49" t="str">
            <v>Samina Zamindar, Zamindar Microsurgical Eye Center</v>
          </cell>
          <cell r="F49" t="str">
            <v>Chair</v>
          </cell>
        </row>
        <row r="50">
          <cell r="A50" t="str">
            <v>12:50-13:00</v>
          </cell>
          <cell r="D50" t="str">
            <v>Geeta Fulari, Sankara Eye Foundation</v>
          </cell>
          <cell r="F50" t="str">
            <v xml:space="preserve">Co Chair </v>
          </cell>
        </row>
        <row r="51">
          <cell r="A51" t="str">
            <v xml:space="preserve">13:00-13:10 </v>
          </cell>
          <cell r="D51" t="str">
            <v>Uday Kumar, LAICO</v>
          </cell>
          <cell r="F51" t="str">
            <v>Moderator</v>
          </cell>
        </row>
        <row r="52">
          <cell r="A52" t="str">
            <v>13:10-13:30</v>
          </cell>
          <cell r="D52" t="str">
            <v>Moderator: Samina Zamindar</v>
          </cell>
          <cell r="F52" t="str">
            <v>Time</v>
          </cell>
          <cell r="I52" t="str">
            <v>Speakers</v>
          </cell>
        </row>
        <row r="53">
          <cell r="D53" t="str">
            <v>Panelist: Umang Mathur (Dr. Shroff's Charity Eye Hospital) , Seran (AEH Salem), Harpreet Kapoor(CBM), Geeta Fulari (Sankara Eye Foundation)</v>
          </cell>
          <cell r="F53" t="str">
            <v>12:40-12:50</v>
          </cell>
          <cell r="I53" t="str">
            <v>Kushal Dharmani, Sewa Sadan Eye Hospital</v>
          </cell>
        </row>
        <row r="54">
          <cell r="A54" t="str">
            <v>LUNCH: 13.30-14.30 hrs</v>
          </cell>
          <cell r="F54" t="str">
            <v>12:50-13:00</v>
          </cell>
          <cell r="I54" t="str">
            <v>Deepak Singh, Dr. Shroff's Charity Eye Hospital</v>
          </cell>
        </row>
        <row r="55">
          <cell r="A55" t="str">
            <v>14.30 to 15.30 hrs</v>
          </cell>
          <cell r="F55" t="str">
            <v>13:00-13:10</v>
          </cell>
          <cell r="I55" t="str">
            <v>Rahul Deshpande, HV Desai Eye Hospital</v>
          </cell>
        </row>
        <row r="56">
          <cell r="A56" t="str">
            <v>Session Time: 14.30 to 15.30 hrs</v>
          </cell>
          <cell r="F56" t="str">
            <v>13:10-13:20</v>
          </cell>
          <cell r="I56" t="str">
            <v>Prem Kumar Singh, Dr. Shroff's Charity Eye Hospital</v>
          </cell>
        </row>
        <row r="57">
          <cell r="A57" t="str">
            <v>Course Name</v>
          </cell>
          <cell r="F57" t="str">
            <v>13:20-13:30</v>
          </cell>
        </row>
        <row r="58">
          <cell r="A58" t="str">
            <v>Course Objective</v>
          </cell>
          <cell r="F58" t="str">
            <v>LUNCH: 13.30-14.30 hrs</v>
          </cell>
        </row>
        <row r="59">
          <cell r="A59" t="str">
            <v>Chair</v>
          </cell>
          <cell r="F59" t="str">
            <v>14.30- 16.30 hrs</v>
          </cell>
        </row>
        <row r="60">
          <cell r="A60" t="str">
            <v>Co-Chair</v>
          </cell>
        </row>
        <row r="61">
          <cell r="A61" t="str">
            <v>Moderator</v>
          </cell>
        </row>
        <row r="62">
          <cell r="A62" t="str">
            <v>Time</v>
          </cell>
          <cell r="D62" t="str">
            <v>Speakers</v>
          </cell>
        </row>
        <row r="63">
          <cell r="A63" t="str">
            <v>14:30-14:38</v>
          </cell>
          <cell r="D63" t="str">
            <v>Vinoth Kumar, LAICO</v>
          </cell>
        </row>
        <row r="64">
          <cell r="A64" t="str">
            <v>14:38-14:44</v>
          </cell>
          <cell r="D64" t="str">
            <v>Venkatasubramaniam, Rangalakshmii Netralaya</v>
          </cell>
        </row>
        <row r="65">
          <cell r="A65" t="str">
            <v>14:44-14:52</v>
          </cell>
          <cell r="D65" t="str">
            <v>Rakhi Nathawat, Dr. Shroff's Charity Eye Hospital</v>
          </cell>
        </row>
        <row r="66">
          <cell r="A66" t="str">
            <v>14:52- 15:00</v>
          </cell>
          <cell r="D66" t="str">
            <v>Vinoth Kumar, LAICO</v>
          </cell>
        </row>
        <row r="67">
          <cell r="A67" t="str">
            <v>15:00- 15:08</v>
          </cell>
          <cell r="D67" t="str">
            <v>Aruldoss Jachin David Williams, LVPEI</v>
          </cell>
        </row>
        <row r="68">
          <cell r="A68" t="str">
            <v>15:08-15:16</v>
          </cell>
          <cell r="D68" t="str">
            <v>Gaurangi Kolzarkar, Mission for vision</v>
          </cell>
        </row>
        <row r="69">
          <cell r="A69" t="str">
            <v>15:16-15:24</v>
          </cell>
          <cell r="D69" t="str">
            <v>Jyotsna Sharma, Orbis International</v>
          </cell>
        </row>
        <row r="70">
          <cell r="A70" t="str">
            <v>15.30- 16.30 hrs</v>
          </cell>
        </row>
        <row r="71">
          <cell r="A71" t="str">
            <v>BREAK: 15.30- 16.30 hrs</v>
          </cell>
        </row>
        <row r="72">
          <cell r="A72" t="str">
            <v>Common Session Time: 16.30 – 17.30 hrs
 NOTE: All sessions in all tracks get suspended</v>
          </cell>
        </row>
        <row r="73">
          <cell r="A73" t="str">
            <v>Course Name</v>
          </cell>
        </row>
        <row r="74">
          <cell r="A74" t="str">
            <v>Chair</v>
          </cell>
        </row>
        <row r="75">
          <cell r="A75" t="str">
            <v>Co Chair</v>
          </cell>
        </row>
        <row r="76">
          <cell r="A76" t="str">
            <v>Moderator</v>
          </cell>
        </row>
        <row r="77">
          <cell r="A77" t="str">
            <v>Time</v>
          </cell>
          <cell r="D77" t="str">
            <v>Speakers</v>
          </cell>
        </row>
        <row r="81">
          <cell r="A81" t="str">
            <v xml:space="preserve">  </v>
          </cell>
        </row>
        <row r="85">
          <cell r="A85" t="str">
            <v>BREAK: 17.30- 18.00 hrs</v>
          </cell>
        </row>
        <row r="86">
          <cell r="A86" t="str">
            <v>18.00 hrs</v>
          </cell>
        </row>
        <row r="87">
          <cell r="A87" t="str">
            <v xml:space="preserve">Dinner </v>
          </cell>
        </row>
      </sheetData>
      <sheetData sheetId="8">
        <row r="1">
          <cell r="A1" t="str">
            <v>INNOVATION, COLLABORATION AND IMPACT IN EYE CARE: VISION FOR VIKSIT BHARAT 2047
11 – 12 July 2026 (Saturday and Sunday)                         Track 4: Excellence in Optometry and Allied Ophthalmic Personnel</v>
          </cell>
          <cell r="F1" t="str">
            <v>INNOVATION, COLLABORATION AND IMPACT IN EYE CARE: VISION FOR VIKSIT BHARAT 2047
11 – 12 July 2026 (Saturday and Sunday)                         Track 4: Excellence in Optometry and Allied Ophthalmic Personnel</v>
          </cell>
        </row>
        <row r="2">
          <cell r="A2" t="str">
            <v>Day 1: Saturday, 11 July 2026                                Venue: Sankara Eye Foundation</v>
          </cell>
          <cell r="F2" t="str">
            <v>Day 2: Sunday, 12 July 2026                                                                                             Venue: Sankara Eye Foundation</v>
          </cell>
        </row>
        <row r="3">
          <cell r="A3" t="str">
            <v>Session: 09.00 – 10.00 hrs</v>
          </cell>
          <cell r="F3" t="str">
            <v>Session: 09.00 – 11.40 hrs</v>
          </cell>
        </row>
        <row r="4">
          <cell r="A4" t="str">
            <v xml:space="preserve">Theme </v>
          </cell>
          <cell r="F4" t="str">
            <v xml:space="preserve">Theme </v>
          </cell>
        </row>
        <row r="5">
          <cell r="A5" t="str">
            <v xml:space="preserve">Chair </v>
          </cell>
          <cell r="F5" t="str">
            <v>Chair</v>
          </cell>
        </row>
        <row r="6">
          <cell r="A6" t="str">
            <v xml:space="preserve">Co-Chair </v>
          </cell>
          <cell r="F6" t="str">
            <v xml:space="preserve">Co chair </v>
          </cell>
        </row>
        <row r="7">
          <cell r="A7" t="str">
            <v xml:space="preserve">Moderator </v>
          </cell>
          <cell r="F7" t="str">
            <v>Moderator</v>
          </cell>
        </row>
        <row r="8">
          <cell r="A8" t="str">
            <v>Time</v>
          </cell>
          <cell r="C8" t="str">
            <v>Speakers</v>
          </cell>
          <cell r="F8" t="str">
            <v>Time</v>
          </cell>
          <cell r="H8" t="str">
            <v>Speakers</v>
          </cell>
        </row>
        <row r="9">
          <cell r="A9" t="str">
            <v>9.00 -9.10</v>
          </cell>
          <cell r="C9" t="str">
            <v>Anuradha Narayan, Sankara Netralaya, Elite School of Optometry</v>
          </cell>
          <cell r="F9" t="str">
            <v xml:space="preserve">9.00 -9.10 </v>
          </cell>
          <cell r="H9" t="str">
            <v>Parul Datta- Dr. Shroff's Charity Eye Hospital</v>
          </cell>
        </row>
        <row r="10">
          <cell r="A10" t="str">
            <v>9.10 -9.20</v>
          </cell>
          <cell r="C10" t="str">
            <v>Krishna Kumar, NCAHP</v>
          </cell>
          <cell r="F10" t="str">
            <v xml:space="preserve">9.10 -9.20 </v>
          </cell>
          <cell r="H10" t="str">
            <v>Joice-Sankara Academy of Vision</v>
          </cell>
        </row>
        <row r="11">
          <cell r="A11" t="str">
            <v>9.20-9.30</v>
          </cell>
          <cell r="C11" t="str">
            <v>Vandana Kamath, Sankara Academy of Vision</v>
          </cell>
          <cell r="F11" t="str">
            <v xml:space="preserve">9.20 -9.30 </v>
          </cell>
          <cell r="H11" t="str">
            <v>Mahadev Shegunashi-HV Desai Eye Hospital</v>
          </cell>
        </row>
        <row r="12">
          <cell r="A12" t="str">
            <v>9.30 -9.50</v>
          </cell>
          <cell r="C12" t="str">
            <v>Aditya Goyal-Sankara Academy of Vision,N Anuradha-Sankara Netralaya(ESO), R Krishnakumar-NCAHP</v>
          </cell>
          <cell r="F12" t="str">
            <v xml:space="preserve">9.30 -9.40 </v>
          </cell>
          <cell r="H12" t="str">
            <v>Jeya Kohila- Aravind Eye Care</v>
          </cell>
        </row>
        <row r="13">
          <cell r="A13" t="str">
            <v>9.50 -10:00</v>
          </cell>
          <cell r="F13" t="str">
            <v xml:space="preserve">9.40 -9.50 </v>
          </cell>
          <cell r="H13" t="str">
            <v>Heena Shah-Dr. Shroff's Charity Eye Hospital</v>
          </cell>
        </row>
        <row r="14">
          <cell r="A14" t="str">
            <v>BREAK: 15 mins</v>
          </cell>
          <cell r="F14" t="str">
            <v xml:space="preserve">9.50 -10.00 </v>
          </cell>
        </row>
        <row r="15">
          <cell r="A15" t="str">
            <v>Session Time: 10.15 – 11.15 hrs</v>
          </cell>
          <cell r="F15" t="str">
            <v>Break: 20 mins</v>
          </cell>
        </row>
        <row r="16">
          <cell r="A16" t="str">
            <v xml:space="preserve">Theme </v>
          </cell>
          <cell r="F16" t="str">
            <v xml:space="preserve">10.20 - 10.30 </v>
          </cell>
          <cell r="H16" t="str">
            <v>Nidhi Jamwal- Seva Foundation</v>
          </cell>
        </row>
        <row r="17">
          <cell r="A17" t="str">
            <v xml:space="preserve">Chair </v>
          </cell>
          <cell r="F17" t="str">
            <v xml:space="preserve">10.30 -10.40 </v>
          </cell>
          <cell r="H17" t="str">
            <v>Sitaramanjaneyulu Madhukuri- LVPEI</v>
          </cell>
        </row>
        <row r="18">
          <cell r="A18" t="str">
            <v xml:space="preserve">Co-Chair </v>
          </cell>
          <cell r="F18" t="str">
            <v xml:space="preserve">10.40 -10.50 </v>
          </cell>
          <cell r="H18" t="str">
            <v>Shivakant Tripathy- Sadguru Netra Chikitsalaya</v>
          </cell>
        </row>
        <row r="19">
          <cell r="A19" t="str">
            <v xml:space="preserve">Moderator </v>
          </cell>
          <cell r="F19" t="str">
            <v xml:space="preserve">10.50 -11.00 </v>
          </cell>
          <cell r="H19" t="str">
            <v>Monalisa Saha -Siliguri Greater Lions Eye Hospital</v>
          </cell>
        </row>
        <row r="20">
          <cell r="A20" t="str">
            <v>Time</v>
          </cell>
          <cell r="C20" t="str">
            <v>Speakers</v>
          </cell>
          <cell r="F20" t="str">
            <v xml:space="preserve">11.00 -11.10 </v>
          </cell>
          <cell r="H20" t="str">
            <v>Usha Mishara- Dr Shroff's Charity Eye Hospital</v>
          </cell>
        </row>
        <row r="21">
          <cell r="A21" t="str">
            <v xml:space="preserve">10.20 - 10.35 </v>
          </cell>
          <cell r="C21" t="str">
            <v>Diwakar Rao- Vittala International Institute of Ophthalmology</v>
          </cell>
          <cell r="F21" t="str">
            <v xml:space="preserve">11.10 -11.20 </v>
          </cell>
          <cell r="H21" t="str">
            <v>Shraddha Gupta- Sitapur Eye Hospital</v>
          </cell>
        </row>
        <row r="22">
          <cell r="A22" t="str">
            <v xml:space="preserve">10.35 -10.50 </v>
          </cell>
          <cell r="C22" t="str">
            <v>Nirav Mehta-Hari Jyot College of Optometry</v>
          </cell>
          <cell r="F22" t="str">
            <v xml:space="preserve">11.20 -11.40 </v>
          </cell>
          <cell r="H22" t="str">
            <v>Parul Datta-Dr Shroff's Charity Eye Hospital, Monalisa Saha -Siliguri Greater Lions Eye Hospital, Sitaramanjaneyulu Madhukuri- LVPEI</v>
          </cell>
        </row>
        <row r="23">
          <cell r="A23" t="str">
            <v xml:space="preserve">10.50 -11.00 </v>
          </cell>
          <cell r="C23" t="str">
            <v>Namratha Hegde- Sankara Academy of Vision</v>
          </cell>
          <cell r="F23" t="str">
            <v>BREAK: 15 mins</v>
          </cell>
        </row>
        <row r="24">
          <cell r="A24" t="str">
            <v xml:space="preserve">11.00 -11.20 </v>
          </cell>
          <cell r="C24" t="str">
            <v>N Anuradha-Sankara Netralaya, Paula Mukharjee-OCI, Nirav Mehta- Harijyot College of Optometry</v>
          </cell>
          <cell r="F24" t="str">
            <v>Session Time: 11:55 – 12:45 hrs</v>
          </cell>
        </row>
        <row r="25">
          <cell r="A25" t="str">
            <v xml:space="preserve">11.20 -11.30 </v>
          </cell>
          <cell r="F25" t="str">
            <v xml:space="preserve">Theme </v>
          </cell>
        </row>
        <row r="26">
          <cell r="A26" t="str">
            <v>BREAK: 15 mins</v>
          </cell>
          <cell r="F26" t="str">
            <v xml:space="preserve">Chair </v>
          </cell>
        </row>
        <row r="27">
          <cell r="A27" t="str">
            <v>Session Time: 11.30 - 13:30 hrs</v>
          </cell>
          <cell r="F27" t="str">
            <v>Co-Chair</v>
          </cell>
        </row>
        <row r="28">
          <cell r="C28" t="str">
            <v>Speakers</v>
          </cell>
          <cell r="F28" t="str">
            <v xml:space="preserve">Moderator </v>
          </cell>
        </row>
        <row r="29">
          <cell r="A29" t="str">
            <v xml:space="preserve">Participants </v>
          </cell>
          <cell r="F29" t="str">
            <v>Time</v>
          </cell>
          <cell r="H29" t="str">
            <v>Speakers</v>
          </cell>
        </row>
        <row r="30">
          <cell r="A30" t="str">
            <v xml:space="preserve">Format </v>
          </cell>
          <cell r="F30" t="str">
            <v xml:space="preserve">11.55 -12.10 </v>
          </cell>
          <cell r="H30" t="str">
            <v>Kavin Kumar-Sankara Academy of Vision</v>
          </cell>
        </row>
        <row r="31">
          <cell r="A31" t="str">
            <v>Round -1</v>
          </cell>
          <cell r="C31" t="str">
            <v>Team- Sankara Academy of Vision</v>
          </cell>
          <cell r="F31" t="str">
            <v xml:space="preserve">12.10 -12.25 </v>
          </cell>
          <cell r="H31" t="str">
            <v>Prasant Satpathy-Mahanadi Netra Chikitsalaya, Lepra Society</v>
          </cell>
        </row>
        <row r="32">
          <cell r="A32" t="str">
            <v>Round-2</v>
          </cell>
          <cell r="C32" t="str">
            <v>Mahadev/Nirav Mehta- Harijyot College of Optometry</v>
          </cell>
          <cell r="F32" t="str">
            <v xml:space="preserve">12.25 -12.35 </v>
          </cell>
          <cell r="H32" t="str">
            <v>Jyoti Mundhra-Remidio</v>
          </cell>
        </row>
        <row r="33">
          <cell r="A33" t="str">
            <v>Round -3</v>
          </cell>
          <cell r="C33" t="str">
            <v>Vijay-LVPEI/Nirav-Harijyot College of Optometry</v>
          </cell>
          <cell r="F33" t="str">
            <v xml:space="preserve">12.35 -12.45 </v>
          </cell>
          <cell r="H33" t="str">
            <v>Namratha Hegde-Sankara Academy of Vision, Deepa GK-Netradhama School of Optometry, Jyoti Mundhra-Remidio</v>
          </cell>
        </row>
        <row r="34">
          <cell r="A34" t="str">
            <v xml:space="preserve">Quiz Master </v>
          </cell>
          <cell r="F34" t="str">
            <v>BREAK: 15 mins</v>
          </cell>
        </row>
        <row r="35">
          <cell r="A35" t="str">
            <v>LUNCH: 13.30-14.30 hrs</v>
          </cell>
          <cell r="F35" t="str">
            <v>Session Time: 13:00 - 13:30 hrs</v>
          </cell>
        </row>
        <row r="36">
          <cell r="A36" t="str">
            <v>14.30 to 15.30 hrs</v>
          </cell>
          <cell r="F36" t="str">
            <v xml:space="preserve">Theme </v>
          </cell>
        </row>
        <row r="37">
          <cell r="A37" t="str">
            <v>Session Time: 14:30 - 16:00 hrs</v>
          </cell>
          <cell r="F37" t="str">
            <v xml:space="preserve">Chair </v>
          </cell>
        </row>
        <row r="38">
          <cell r="A38" t="str">
            <v xml:space="preserve">Theme </v>
          </cell>
          <cell r="F38" t="str">
            <v>Co-Chair</v>
          </cell>
        </row>
        <row r="39">
          <cell r="A39" t="str">
            <v xml:space="preserve">Chair </v>
          </cell>
          <cell r="F39" t="str">
            <v xml:space="preserve">Moderator </v>
          </cell>
        </row>
        <row r="40">
          <cell r="A40" t="str">
            <v xml:space="preserve">Co-Chair </v>
          </cell>
          <cell r="F40" t="str">
            <v>Time</v>
          </cell>
          <cell r="H40" t="str">
            <v>Speakers</v>
          </cell>
        </row>
        <row r="41">
          <cell r="A41" t="str">
            <v xml:space="preserve">Moderator </v>
          </cell>
          <cell r="F41" t="str">
            <v xml:space="preserve">13.00 - 13.10 </v>
          </cell>
          <cell r="H41" t="str">
            <v>Jitendra Kumar Sahoo-Trilochan Netralaya</v>
          </cell>
        </row>
        <row r="42">
          <cell r="A42" t="str">
            <v>Time</v>
          </cell>
          <cell r="C42" t="str">
            <v>Speakers</v>
          </cell>
          <cell r="F42" t="str">
            <v xml:space="preserve">13.10 - 13.20 </v>
          </cell>
          <cell r="H42" t="str">
            <v>Chhaya Tiwary- Akhand Jyoti Eye Hospital</v>
          </cell>
        </row>
        <row r="43">
          <cell r="A43" t="str">
            <v>14.30 -14.40</v>
          </cell>
          <cell r="C43" t="str">
            <v>Paula Mukharjee- Optometry Confederation of India</v>
          </cell>
          <cell r="F43" t="str">
            <v xml:space="preserve">13.20 -13.30 </v>
          </cell>
          <cell r="H43" t="str">
            <v>Ajeet Bhardwaj- Optique, New Delhi</v>
          </cell>
        </row>
        <row r="44">
          <cell r="A44" t="str">
            <v xml:space="preserve">14.40 - 14.50 </v>
          </cell>
          <cell r="C44" t="str">
            <v>Abhishek Kalbarga- India Vision Institute</v>
          </cell>
          <cell r="F44" t="str">
            <v>LUNCH: 13.30- 14.30 hrs</v>
          </cell>
        </row>
        <row r="45">
          <cell r="A45" t="str">
            <v>14.50 -15.00</v>
          </cell>
          <cell r="C45" t="str">
            <v>Lakshmi Sinde- Optometry Confederation of India</v>
          </cell>
          <cell r="F45" t="str">
            <v>14.30- 16.30 hrs</v>
          </cell>
        </row>
        <row r="46">
          <cell r="A46" t="str">
            <v xml:space="preserve">15.00 -15.10 </v>
          </cell>
          <cell r="C46" t="str">
            <v>R Krishna Kumar- NCAHP</v>
          </cell>
        </row>
        <row r="47">
          <cell r="A47" t="str">
            <v>15.10- 15.20</v>
          </cell>
          <cell r="C47" t="str">
            <v>D. Subramanyam- Gomabai Netralaya</v>
          </cell>
        </row>
        <row r="48">
          <cell r="A48" t="str">
            <v xml:space="preserve">15.20 -15.30 </v>
          </cell>
          <cell r="C48" t="str">
            <v>Paromita Mondal- Sankara Nethralaya</v>
          </cell>
        </row>
        <row r="49">
          <cell r="A49" t="str">
            <v xml:space="preserve">15.30 -15.40 </v>
          </cell>
          <cell r="C49" t="str">
            <v>Prem Kumar Singh- Dr Shroff's Charity Eye Hospital</v>
          </cell>
        </row>
        <row r="50">
          <cell r="A50" t="str">
            <v>15.40 - 16.00</v>
          </cell>
          <cell r="C50" t="str">
            <v xml:space="preserve">N Anuradha- Sankara Netralaya, Lakshmi Sinde- Optometry Confederation of India, R Krishna Kumar-NCAHP        </v>
          </cell>
        </row>
        <row r="51">
          <cell r="A51" t="str">
            <v>16.00 16.30 hrs</v>
          </cell>
        </row>
        <row r="52">
          <cell r="A52" t="str">
            <v>BREAK: 16.00- 16.30 hrs</v>
          </cell>
        </row>
        <row r="53">
          <cell r="A53" t="str">
            <v>Common Session Time: 16.30 – 17.30 hrs
 NOTE: All sessions in all tracks get suspended</v>
          </cell>
        </row>
        <row r="54">
          <cell r="A54" t="str">
            <v>Course Name</v>
          </cell>
        </row>
        <row r="55">
          <cell r="A55" t="str">
            <v>Chair</v>
          </cell>
        </row>
        <row r="56">
          <cell r="A56" t="str">
            <v>Co-Chair</v>
          </cell>
        </row>
        <row r="57">
          <cell r="A57" t="str">
            <v>Moderator</v>
          </cell>
        </row>
        <row r="58">
          <cell r="A58" t="str">
            <v>Time</v>
          </cell>
          <cell r="C58" t="str">
            <v>Speakers</v>
          </cell>
        </row>
        <row r="66">
          <cell r="A66" t="str">
            <v>BREAK: 17.30- 18.00 hrs</v>
          </cell>
        </row>
        <row r="67">
          <cell r="A67" t="str">
            <v>18.00 hrs</v>
          </cell>
        </row>
        <row r="68">
          <cell r="A68" t="str">
            <v xml:space="preserve">Dinner </v>
          </cell>
        </row>
      </sheetData>
      <sheetData sheetId="9">
        <row r="1">
          <cell r="A1" t="str">
            <v>INNOVATION, COLLABORATION AND IMPACT IN EYE CARE: VISION FOR VIKSIT BHARAT 2047
 11 – 12 July 2026 (Saturday and Sunday)
 Track 5: Sharing Knowledge Repository: Towards organization’s excellence &amp; growth</v>
          </cell>
          <cell r="E1" t="str">
            <v>INNOVATION, COLLABORATION AND IMPACT IN EYE CARE: VISION FOR VIKSIT BHARAT 2047
 11 – 12 July 2026 (Saturday and Sunday)
 Track 5: Sharing Knowledge Repository: Towards organization’s excellence &amp; growth</v>
          </cell>
        </row>
        <row r="2">
          <cell r="A2" t="str">
            <v>Day 1: 11 July 2026, Saturday                               Venue: Hall A</v>
          </cell>
          <cell r="E2" t="str">
            <v>Day 1: 11 July 2026, Saturday                                                                     Venue: Hall B</v>
          </cell>
        </row>
        <row r="3">
          <cell r="A3" t="str">
            <v>Session 1 - Vision Centres: The way forward to Vision 2030                          Time: 09.00 – 10.00 hrs</v>
          </cell>
          <cell r="E3" t="str">
            <v>Session 6 - Technology in Community Ophthalmology                                             Time: 09.00 – 10.00 hrs</v>
          </cell>
        </row>
        <row r="4">
          <cell r="A4" t="str">
            <v>Judge 1</v>
          </cell>
          <cell r="E4" t="str">
            <v>Judge 1</v>
          </cell>
        </row>
        <row r="5">
          <cell r="A5" t="str">
            <v>Judge 2</v>
          </cell>
          <cell r="E5" t="str">
            <v>Judge 2</v>
          </cell>
        </row>
        <row r="6">
          <cell r="A6" t="str">
            <v>Time</v>
          </cell>
          <cell r="C6" t="str">
            <v>Presenter</v>
          </cell>
          <cell r="E6" t="str">
            <v>Time</v>
          </cell>
          <cell r="G6" t="str">
            <v>Presenter</v>
          </cell>
        </row>
        <row r="7">
          <cell r="A7" t="str">
            <v>9:00 - 9:06</v>
          </cell>
          <cell r="C7" t="str">
            <v>Rajadurai B,Sankara Eye Foundation</v>
          </cell>
          <cell r="E7" t="str">
            <v>9:00 - 9:06</v>
          </cell>
          <cell r="G7" t="str">
            <v xml:space="preserve">Priyanka Gupta,Dr. Shroff Charity Eye Hospital </v>
          </cell>
        </row>
        <row r="8">
          <cell r="A8" t="str">
            <v>9:07 - 9:12</v>
          </cell>
          <cell r="C8" t="str">
            <v>Nagma Ansari,Dr Shroff's Charity Eye Hospital</v>
          </cell>
          <cell r="E8" t="str">
            <v>9:07 - 9:12</v>
          </cell>
          <cell r="G8" t="str">
            <v>Aswathaman,Sankara Eye Foundation, India</v>
          </cell>
        </row>
        <row r="9">
          <cell r="A9" t="str">
            <v>9:13 - 9:18</v>
          </cell>
          <cell r="C9" t="str">
            <v>Preety Srivastava,Dr. Shroff's Charity Eye Hospital</v>
          </cell>
          <cell r="E9" t="str">
            <v>9:13 - 9:18</v>
          </cell>
          <cell r="G9" t="str">
            <v>Parul Datta,Dr. Shroff Charity Eye Hospital, Delhi</v>
          </cell>
        </row>
        <row r="10">
          <cell r="A10" t="str">
            <v>9:19 - 9:24</v>
          </cell>
          <cell r="C10" t="str">
            <v>Vandana Sayrea, Vittala International Institute of Ophthalmology</v>
          </cell>
          <cell r="E10" t="str">
            <v>9:19 - 9:24</v>
          </cell>
          <cell r="G10" t="str">
            <v>Tanmay Gokhale, LV Prasad Eye Institute</v>
          </cell>
        </row>
        <row r="11">
          <cell r="A11" t="str">
            <v>9:25 - 9:30</v>
          </cell>
          <cell r="C11" t="str">
            <v>Priya Raj Kaur,Sankara Eye Foundation, India</v>
          </cell>
          <cell r="E11" t="str">
            <v>9:25 - 9:30</v>
          </cell>
          <cell r="G11" t="str">
            <v>Kamatchi kannan, Aravind eye hospital</v>
          </cell>
        </row>
        <row r="12">
          <cell r="A12" t="str">
            <v>9:31 - 9:36</v>
          </cell>
          <cell r="C12" t="str">
            <v>Shubhrakanti Bhattacharya,Mission for Vision</v>
          </cell>
          <cell r="E12" t="str">
            <v>9:31 - 9:36</v>
          </cell>
          <cell r="G12" t="str">
            <v xml:space="preserve">Prakhar Patel,Dr. Shroff's Charity Eye Hospital </v>
          </cell>
        </row>
        <row r="13">
          <cell r="A13" t="str">
            <v>9:37 - 9:42</v>
          </cell>
          <cell r="C13" t="str">
            <v>Prathibha Obed,Christian Medical College &amp; Hospital</v>
          </cell>
          <cell r="E13" t="str">
            <v>9:37 - 9:42</v>
          </cell>
          <cell r="G13" t="str">
            <v>Sanghamitra Mishra,Orbis International</v>
          </cell>
        </row>
        <row r="14">
          <cell r="A14" t="str">
            <v>9:43 - 9:48</v>
          </cell>
          <cell r="C14" t="str">
            <v>Dileswari Deep,Trilochan Netralay</v>
          </cell>
          <cell r="E14" t="str">
            <v>9:43 - 9:48</v>
          </cell>
          <cell r="G14" t="str">
            <v>Manmeet Singh,Sankara Eye Foundation</v>
          </cell>
        </row>
        <row r="15">
          <cell r="A15" t="str">
            <v>9:49 - 9:54</v>
          </cell>
          <cell r="C15" t="str">
            <v>Rachit Nigam,Dr Shroff Charity Eye Hospital</v>
          </cell>
          <cell r="E15" t="str">
            <v>9:49 - 9:54</v>
          </cell>
          <cell r="G15" t="str">
            <v>Arun Kumar,Sankara Eye Foundation</v>
          </cell>
        </row>
        <row r="16">
          <cell r="A16" t="str">
            <v>9:55 -10:00</v>
          </cell>
          <cell r="C16" t="str">
            <v>Devarakonda Subramanyam, Goambai Netralaya</v>
          </cell>
          <cell r="E16" t="str">
            <v>9:55 -10:00</v>
          </cell>
          <cell r="G16" t="str">
            <v>Saravanan Dharmarajan,Sankara Eye Foundation</v>
          </cell>
        </row>
        <row r="17">
          <cell r="A17" t="str">
            <v>BREAK: 10 mins</v>
          </cell>
          <cell r="E17" t="str">
            <v>BREAK: 10 mins</v>
          </cell>
        </row>
        <row r="18">
          <cell r="A18" t="str">
            <v>Session 2 - Strategies for reaching the unreached                   Time: 10.10 – 11.10 hrs</v>
          </cell>
          <cell r="E18" t="str">
            <v>Session 7 - School Screening and Refractive Errors                                             Time: 10.10 – 11.10 hrs</v>
          </cell>
        </row>
        <row r="19">
          <cell r="A19" t="str">
            <v>Judge 1</v>
          </cell>
          <cell r="E19" t="str">
            <v>Judge 1</v>
          </cell>
        </row>
        <row r="20">
          <cell r="A20" t="str">
            <v>Judge 2</v>
          </cell>
          <cell r="E20" t="str">
            <v>Judge 2</v>
          </cell>
        </row>
        <row r="21">
          <cell r="A21" t="str">
            <v>Time</v>
          </cell>
          <cell r="C21" t="str">
            <v>Presenter</v>
          </cell>
          <cell r="E21" t="str">
            <v>Time</v>
          </cell>
          <cell r="G21" t="str">
            <v>Presenter</v>
          </cell>
        </row>
        <row r="22">
          <cell r="A22" t="str">
            <v>10:10 - 10:16</v>
          </cell>
          <cell r="C22" t="str">
            <v>Bhawana Jha, LEPRA Society</v>
          </cell>
          <cell r="E22" t="str">
            <v>10:10 - 10:16</v>
          </cell>
          <cell r="G22" t="str">
            <v>Ronal Vettikattu, Forus Health Pvt. Ltd.</v>
          </cell>
        </row>
        <row r="23">
          <cell r="A23" t="str">
            <v>10:17 - 10:22</v>
          </cell>
          <cell r="C23" t="str">
            <v>Surakshya Poudel,Nepal Netra Jyoti Sangh, Lahan eye and Ear Care System</v>
          </cell>
          <cell r="E23" t="str">
            <v>10:17 - 10:22</v>
          </cell>
          <cell r="G23" t="str">
            <v>Debasmita Majhi, L V Prasad Eye Institute</v>
          </cell>
        </row>
        <row r="24">
          <cell r="A24" t="str">
            <v>10:23 - 10:28</v>
          </cell>
          <cell r="C24" t="str">
            <v>Vishal,Sankara Eye Foundation, India</v>
          </cell>
          <cell r="E24" t="str">
            <v>10:23 - 10:28</v>
          </cell>
          <cell r="G24" t="str">
            <v>Parvindra Kumar, Dr Shroff"s Charity Eye Hospital</v>
          </cell>
        </row>
        <row r="25">
          <cell r="A25" t="str">
            <v>10:29 - 10:34</v>
          </cell>
          <cell r="C25" t="str">
            <v>Phani Krishna Athreya,CL Gupta Eye Institute</v>
          </cell>
          <cell r="E25" t="str">
            <v>10:29 - 10:34</v>
          </cell>
          <cell r="G25" t="str">
            <v>Anand Chhajed , Anandrishiji Netralaya</v>
          </cell>
        </row>
        <row r="26">
          <cell r="A26" t="str">
            <v>10:35 - 19:40</v>
          </cell>
          <cell r="C26" t="str">
            <v>Monalisha Sahoo,Trilochan Netralaya</v>
          </cell>
          <cell r="E26" t="str">
            <v>10:35 - 19:40</v>
          </cell>
          <cell r="G26" t="str">
            <v>Sandeep Tiwari,Sadguru Netra Chikitsalaya</v>
          </cell>
        </row>
        <row r="27">
          <cell r="A27" t="str">
            <v>10:41 - 10:46</v>
          </cell>
          <cell r="C27" t="str">
            <v xml:space="preserve">Shaguptha Parvin,Sankara College of Optmetry </v>
          </cell>
          <cell r="E27" t="str">
            <v>10:41 - 10:46</v>
          </cell>
          <cell r="G27" t="str">
            <v>Parmatma Prasad Gupta, Sadguru Netra Chikitsalaya</v>
          </cell>
        </row>
        <row r="28">
          <cell r="A28" t="str">
            <v>10:47 - 10:52</v>
          </cell>
          <cell r="C28" t="str">
            <v>Mobins Abraham,Sadguru Sankalp Netra Chikitsalaya</v>
          </cell>
          <cell r="E28" t="str">
            <v>10:47 - 10:52</v>
          </cell>
          <cell r="G28" t="str">
            <v>S. JEYACHANDRAN,Lions Aravind Institute of Community Ophthalmology</v>
          </cell>
        </row>
        <row r="29">
          <cell r="A29" t="str">
            <v>10:53 - 10:58</v>
          </cell>
          <cell r="C29" t="str">
            <v>Kajal Pandey,Akhand Jyoti Eye Hospital</v>
          </cell>
          <cell r="E29" t="str">
            <v>10:53 - 10:58</v>
          </cell>
          <cell r="G29" t="str">
            <v>Kajal Pandey, Akhand Jyoti Eye Hospital</v>
          </cell>
        </row>
        <row r="30">
          <cell r="A30" t="str">
            <v>10:59 - 11:04</v>
          </cell>
          <cell r="C30" t="str">
            <v>Sivarasu N,Sankara Eye Foundation, India</v>
          </cell>
          <cell r="E30" t="str">
            <v>10:59 - 11:04</v>
          </cell>
          <cell r="G30" t="str">
            <v>Farheen Khan, Goambai Netralaya</v>
          </cell>
        </row>
        <row r="31">
          <cell r="A31" t="str">
            <v>11:05 - 11:10</v>
          </cell>
          <cell r="C31" t="str">
            <v>Tushita Mukherjee,Sightsavers India</v>
          </cell>
          <cell r="E31" t="str">
            <v>11:05 - 11:10</v>
          </cell>
          <cell r="G31" t="str">
            <v>Naval kumar Chauhan,Dr. Shroff's Charity Eye Hospital</v>
          </cell>
        </row>
        <row r="32">
          <cell r="A32" t="str">
            <v>BREAK: 10 mins</v>
          </cell>
          <cell r="E32" t="str">
            <v>BREAK: 10 mins</v>
          </cell>
        </row>
        <row r="33">
          <cell r="A33" t="str">
            <v>Session 3 - Providing services in the unserved areas                                        Time: 11.20 -12.20 hrs</v>
          </cell>
          <cell r="E33" t="str">
            <v>Session 8 - Refractive Error coverage            Time: 11.20 -12.20 hrs</v>
          </cell>
        </row>
        <row r="34">
          <cell r="A34" t="str">
            <v>Judge 1</v>
          </cell>
          <cell r="E34" t="str">
            <v>Judge 1</v>
          </cell>
        </row>
        <row r="35">
          <cell r="A35" t="str">
            <v>Judge 2</v>
          </cell>
          <cell r="E35" t="str">
            <v>Judge 2</v>
          </cell>
        </row>
        <row r="36">
          <cell r="A36" t="str">
            <v>Time</v>
          </cell>
          <cell r="C36" t="str">
            <v>Presenter</v>
          </cell>
          <cell r="E36" t="str">
            <v>Time</v>
          </cell>
          <cell r="G36" t="str">
            <v>Presenter</v>
          </cell>
        </row>
        <row r="37">
          <cell r="A37" t="str">
            <v>11:20 - 11:26</v>
          </cell>
          <cell r="C37" t="str">
            <v>Sindhu Nandini Sahoo,Trilochan Netralaya</v>
          </cell>
          <cell r="E37" t="str">
            <v>11:20 - 11:26</v>
          </cell>
          <cell r="G37" t="str">
            <v>Mohammad Nooruz Zaman,Sankara Eye Foundation</v>
          </cell>
        </row>
        <row r="38">
          <cell r="A38" t="str">
            <v>11:27 - 11:32</v>
          </cell>
          <cell r="C38" t="str">
            <v>Nandhini Vasudevan,Mission for Vision</v>
          </cell>
          <cell r="E38" t="str">
            <v>11:27 - 11:32</v>
          </cell>
          <cell r="G38" t="str">
            <v xml:space="preserve">ShoaibAhmed T,Sankara College of Optometry </v>
          </cell>
        </row>
        <row r="39">
          <cell r="A39" t="str">
            <v>11:33 - 11:38</v>
          </cell>
          <cell r="C39" t="str">
            <v xml:space="preserve">Naval Kumar Chauhan,Dr. Shroff's Charity Eye Hospital </v>
          </cell>
          <cell r="E39" t="str">
            <v>11:33 - 11:38</v>
          </cell>
          <cell r="G39" t="str">
            <v>P. Hariesh Kumar, Aravind Eye Hospital</v>
          </cell>
        </row>
        <row r="40">
          <cell r="A40" t="str">
            <v>11:39 - 11:44</v>
          </cell>
          <cell r="C40" t="str">
            <v xml:space="preserve">Akansha Gupta,C.L Gupta Eye Institute </v>
          </cell>
          <cell r="E40" t="str">
            <v>11:39 - 11:44</v>
          </cell>
          <cell r="G40" t="str">
            <v>Rose Mathew M,Zamindar Microsurgical Eye Centre</v>
          </cell>
        </row>
        <row r="41">
          <cell r="A41" t="str">
            <v>11:45 - 11:50</v>
          </cell>
          <cell r="C41" t="str">
            <v>Muthulakshmi S,Jayapriya Medical Foundation</v>
          </cell>
          <cell r="E41" t="str">
            <v>11:45 - 11:50</v>
          </cell>
          <cell r="G41" t="str">
            <v>M Shanmugapriya, Vittala International Institute Of Ophthalmology</v>
          </cell>
        </row>
        <row r="42">
          <cell r="A42" t="str">
            <v>11:51 - 11:56</v>
          </cell>
          <cell r="C42" t="str">
            <v>Sourabh Raj Singh,CL Gupta Eye Hospital</v>
          </cell>
          <cell r="E42" t="str">
            <v>11:51 - 11:56</v>
          </cell>
          <cell r="G42" t="str">
            <v>Pritam Dutta, Chandraprabha Eye Hospital</v>
          </cell>
        </row>
        <row r="43">
          <cell r="A43" t="str">
            <v>11:57 - 12:02</v>
          </cell>
          <cell r="C43" t="str">
            <v xml:space="preserve">Sumit Suman Kar,Sightsavers India </v>
          </cell>
          <cell r="E43" t="str">
            <v>11:57 - 12:02</v>
          </cell>
          <cell r="G43" t="str">
            <v xml:space="preserve">Kamatchi, Aravind Eye Hospital </v>
          </cell>
        </row>
        <row r="44">
          <cell r="A44" t="str">
            <v>12:03 - 12:08</v>
          </cell>
          <cell r="C44" t="str">
            <v>Rituraj Gogoi,Phanidhar Bardoloi Memorial Trust</v>
          </cell>
          <cell r="E44" t="str">
            <v>12:03 - 12:08</v>
          </cell>
          <cell r="G44" t="str">
            <v>Rose Mathew M , Zamindar Microsurgical Eye Centre</v>
          </cell>
        </row>
        <row r="45">
          <cell r="A45" t="str">
            <v>12:09 - 12:14</v>
          </cell>
          <cell r="C45" t="str">
            <v>C Parameswara Reddy,Sankara Eye Foundation, India</v>
          </cell>
          <cell r="E45" t="str">
            <v>12:09 - 12:14</v>
          </cell>
          <cell r="G45" t="str">
            <v>Kumari B, Sankara Eye Foundation</v>
          </cell>
        </row>
        <row r="46">
          <cell r="A46" t="str">
            <v>12:15 - 12:20</v>
          </cell>
          <cell r="C46" t="str">
            <v>Jitender Saroya, Dr Shroff Charitable Eye Hospital</v>
          </cell>
          <cell r="E46" t="str">
            <v>12:15 : 12:20</v>
          </cell>
          <cell r="G46" t="str">
            <v>Subbalakshmi A,Sankara eye Foundation,</v>
          </cell>
        </row>
        <row r="47">
          <cell r="A47" t="str">
            <v>BREAK: 10 mins</v>
          </cell>
          <cell r="E47" t="str">
            <v>BREAK: 10 mins</v>
          </cell>
        </row>
        <row r="48">
          <cell r="A48" t="str">
            <v>Session 4 - Universal Eye Health                                    Time: 12.30 - 13.30 hrs</v>
          </cell>
          <cell r="E48" t="str">
            <v>Session 9 - Strategies to Improve Visual Outcome Post Cataract Surgery                                      Time: 12.30 - 13.30 hrs</v>
          </cell>
        </row>
        <row r="49">
          <cell r="A49" t="str">
            <v>Judge 1</v>
          </cell>
          <cell r="E49" t="str">
            <v>Judge 1</v>
          </cell>
        </row>
        <row r="50">
          <cell r="A50" t="str">
            <v>Judge 2</v>
          </cell>
          <cell r="E50" t="str">
            <v>Judge 2</v>
          </cell>
        </row>
        <row r="51">
          <cell r="A51" t="str">
            <v>Time</v>
          </cell>
          <cell r="C51" t="str">
            <v>Presenter</v>
          </cell>
          <cell r="E51" t="str">
            <v>Time</v>
          </cell>
          <cell r="G51" t="str">
            <v>Presenter</v>
          </cell>
        </row>
        <row r="52">
          <cell r="A52" t="str">
            <v>12:30 - 12:36</v>
          </cell>
          <cell r="C52" t="str">
            <v>M Vikky Kumar,Aravind Eye Hospital</v>
          </cell>
          <cell r="E52" t="str">
            <v>12:30 - 12:36</v>
          </cell>
          <cell r="G52" t="str">
            <v>Ashwini Rogye,Shantilal Shanghvi Eye Institute</v>
          </cell>
        </row>
        <row r="53">
          <cell r="A53" t="str">
            <v>12:37 - 12:42</v>
          </cell>
          <cell r="C53" t="str">
            <v>Vikas Kumar, Dr. Shroff's Charity Eye Hospital</v>
          </cell>
          <cell r="E53" t="str">
            <v>12:37 - 12:42</v>
          </cell>
          <cell r="G53" t="str">
            <v>Raichel R, Aravind Eye Hospital</v>
          </cell>
        </row>
        <row r="54">
          <cell r="A54" t="str">
            <v>12:43 - 12:48</v>
          </cell>
          <cell r="C54" t="str">
            <v xml:space="preserve">Seran Ilango,Aravind Eye Hospital </v>
          </cell>
          <cell r="E54" t="str">
            <v>12:43 - 12:48</v>
          </cell>
          <cell r="G54" t="str">
            <v>Sumathy A, Aravind Eye Hospital</v>
          </cell>
        </row>
        <row r="55">
          <cell r="A55" t="str">
            <v>12:49 - 12:54</v>
          </cell>
          <cell r="C55" t="str">
            <v>Sumathy A, Aravind Eye Hospital</v>
          </cell>
          <cell r="E55" t="str">
            <v>12:49 - 12:54</v>
          </cell>
          <cell r="G55" t="str">
            <v>Ritesh Kumar Chaurasiya, C L Gupta Eye Institute</v>
          </cell>
        </row>
        <row r="56">
          <cell r="A56" t="str">
            <v>12:55 - 13:00</v>
          </cell>
          <cell r="C56" t="str">
            <v>Ranitha Guna Selvi D, Aravind Eye Hospital</v>
          </cell>
          <cell r="E56" t="str">
            <v>12:55 - 13:00</v>
          </cell>
          <cell r="G56" t="str">
            <v>Gourav Kant Shrivastava,Sadguru Sewa Sangh Trust</v>
          </cell>
        </row>
        <row r="57">
          <cell r="A57" t="str">
            <v>13:01 - 13:06</v>
          </cell>
          <cell r="C57" t="str">
            <v>Pingla Priya S, Zamindar Microsurgical Eye Centre</v>
          </cell>
          <cell r="E57" t="str">
            <v>13:01 - 13:06</v>
          </cell>
          <cell r="G57" t="str">
            <v>B Madhumitha, Sankara Eye Foundation</v>
          </cell>
        </row>
        <row r="58">
          <cell r="A58" t="str">
            <v>13:07 - 13:12</v>
          </cell>
          <cell r="C58" t="str">
            <v>Pritesh Sonar, Aurangabad Chikalthana Lions Eye Hospital</v>
          </cell>
          <cell r="E58" t="str">
            <v>13:07 - 13:12</v>
          </cell>
          <cell r="G58" t="str">
            <v>Pratyusha Mishra, Sankara Eye Foundation</v>
          </cell>
        </row>
        <row r="59">
          <cell r="A59" t="str">
            <v>13:13 - 13:18</v>
          </cell>
          <cell r="C59" t="str">
            <v>Deepak Bhagat,Dr. Shroff’s Charity Eye Hospital</v>
          </cell>
          <cell r="E59" t="str">
            <v>13:13 - 13:18</v>
          </cell>
          <cell r="G59" t="str">
            <v>Vinod Kumar Rathore ,Gomabai Netralaya</v>
          </cell>
        </row>
        <row r="60">
          <cell r="A60" t="str">
            <v>13:19 - 13:24</v>
          </cell>
          <cell r="C60" t="str">
            <v xml:space="preserve">Rajbabu, BHRC-Dr Shroff Eye Care Institute </v>
          </cell>
          <cell r="E60" t="str">
            <v>13:19 - 13:24</v>
          </cell>
          <cell r="G60" t="str">
            <v>Vijay Singh ,Sadguru Netra Chikitsalaya</v>
          </cell>
        </row>
        <row r="61">
          <cell r="A61" t="str">
            <v>13:25 - 13:30</v>
          </cell>
          <cell r="C61" t="str">
            <v>Diwakar Rao. B. S, Vittala International Institute of Ophthalmology</v>
          </cell>
          <cell r="E61" t="str">
            <v>13:25 - 13:30</v>
          </cell>
          <cell r="G61" t="str">
            <v xml:space="preserve">Ranjith Kumar M,Sankara Eye Foundation </v>
          </cell>
        </row>
        <row r="62">
          <cell r="A62" t="str">
            <v>LUNCH: 13.30-14.30 hrs</v>
          </cell>
          <cell r="E62" t="str">
            <v>LUNCH: 13.30- 14.30 hrs</v>
          </cell>
        </row>
        <row r="63">
          <cell r="A63" t="str">
            <v>14.30 to 15.30 hrs</v>
          </cell>
          <cell r="E63" t="str">
            <v>14.30 to 15.30 hrs</v>
          </cell>
        </row>
        <row r="64">
          <cell r="A64" t="str">
            <v>Session 5 - Eye Health for Vulnerable groups                            Time: 14.30 to 15.30 hrs</v>
          </cell>
          <cell r="E64" t="str">
            <v>Session 10 - Tackling Diabetic Retinopathy and ROP                                        Time: 14.30 to 15.30 hrs</v>
          </cell>
        </row>
        <row r="65">
          <cell r="A65" t="str">
            <v>Judge 1</v>
          </cell>
          <cell r="E65" t="str">
            <v>Judge 1</v>
          </cell>
        </row>
        <row r="66">
          <cell r="A66" t="str">
            <v>Judge 2</v>
          </cell>
          <cell r="E66" t="str">
            <v>Judge 2</v>
          </cell>
        </row>
        <row r="67">
          <cell r="A67" t="str">
            <v>Time</v>
          </cell>
          <cell r="C67" t="str">
            <v>Speaker</v>
          </cell>
          <cell r="E67" t="str">
            <v>Time</v>
          </cell>
          <cell r="G67" t="str">
            <v>Speaker</v>
          </cell>
        </row>
        <row r="68">
          <cell r="A68" t="str">
            <v>14:30 - 14:36</v>
          </cell>
          <cell r="C68" t="str">
            <v>Debasmita Majhi, L V Prasad Eye Institution</v>
          </cell>
          <cell r="E68" t="str">
            <v>14:30 - 14:36</v>
          </cell>
          <cell r="G68" t="str">
            <v>Swati,Ramaiah Institute of Technology</v>
          </cell>
        </row>
        <row r="69">
          <cell r="A69" t="str">
            <v>14:37 - 14:42</v>
          </cell>
          <cell r="C69" t="str">
            <v>Swetha Sarvanan,Optometry Confederation of India</v>
          </cell>
          <cell r="E69" t="str">
            <v>14:37 - 14:42</v>
          </cell>
          <cell r="G69" t="str">
            <v>M S Bala Vidyadhar,Pushpagiri Eye Foundation</v>
          </cell>
        </row>
        <row r="70">
          <cell r="A70" t="str">
            <v>14:43 - 14:48</v>
          </cell>
          <cell r="C70" t="str">
            <v>Preeti Singh, Sitapur Eye Hospital</v>
          </cell>
          <cell r="E70" t="str">
            <v>14:43 - 14:48</v>
          </cell>
          <cell r="G70" t="str">
            <v>Vaibhav Sethi, Arunodaya Deseret Eye Hospital</v>
          </cell>
        </row>
        <row r="71">
          <cell r="A71" t="str">
            <v>14:49 - 14:54</v>
          </cell>
          <cell r="C71" t="str">
            <v>Shyamanta Bijoy Neog, Dr. Shroff's Charity Eye Hospital</v>
          </cell>
          <cell r="E71" t="str">
            <v>14:49 - 14:54</v>
          </cell>
          <cell r="G71" t="str">
            <v>Ranitha Guna Selvi D, Aravind Eye Hospital</v>
          </cell>
        </row>
        <row r="72">
          <cell r="A72" t="str">
            <v>14:55 - 15:00</v>
          </cell>
          <cell r="C72" t="str">
            <v>Parikshit Gogate, Community Eye Care Foundation</v>
          </cell>
          <cell r="E72" t="str">
            <v>14:55 - 15:00</v>
          </cell>
          <cell r="G72" t="str">
            <v xml:space="preserve">Nimmy Thomas,Christian Medical College, Vellore </v>
          </cell>
        </row>
        <row r="73">
          <cell r="A73" t="str">
            <v>15:01 - 15:06</v>
          </cell>
          <cell r="C73" t="str">
            <v>Ranu Priya, Dr Shroff Charity Eye Hospital</v>
          </cell>
          <cell r="E73" t="str">
            <v>15:01 - 15:06</v>
          </cell>
          <cell r="G73" t="str">
            <v xml:space="preserve">Netra Harsha ,Vittala International Institute Of Ophthalmology </v>
          </cell>
        </row>
        <row r="74">
          <cell r="A74" t="str">
            <v>15:07 - 15:12</v>
          </cell>
          <cell r="C74" t="str">
            <v>Vasudha Kemmanu,Narayana Nethralaya</v>
          </cell>
          <cell r="E74" t="str">
            <v>15:07 - 15:12</v>
          </cell>
          <cell r="G74" t="str">
            <v>Manasi Kulkarni,Mission for Vision</v>
          </cell>
        </row>
        <row r="75">
          <cell r="A75" t="str">
            <v>15:13 - 15:18</v>
          </cell>
          <cell r="C75" t="str">
            <v>Renu Wadhwa,K K Eye Institute</v>
          </cell>
          <cell r="E75" t="str">
            <v>15:13 - 15:18</v>
          </cell>
          <cell r="G75" t="str">
            <v>Radhika L R,Sankara Eye Foundation, India</v>
          </cell>
        </row>
        <row r="76">
          <cell r="A76" t="str">
            <v>15:19 - 15:24</v>
          </cell>
          <cell r="C76" t="str">
            <v>Megha Girdhar,Orbis International</v>
          </cell>
          <cell r="E76" t="str">
            <v>15:19 - 15:24</v>
          </cell>
          <cell r="G76" t="str">
            <v>S.Alageswari ,Aravind Eye Care System</v>
          </cell>
        </row>
        <row r="77">
          <cell r="A77" t="str">
            <v>BREAK: 15.30- 16.30 hrs</v>
          </cell>
          <cell r="E77" t="str">
            <v>BREAK: 15.30- 16.30 hrs</v>
          </cell>
        </row>
        <row r="78">
          <cell r="A78" t="str">
            <v>Common Session Time: 16.30 – 17.30 hrs
 NOTE: All sessions in all tracks get suspended</v>
          </cell>
          <cell r="E78" t="str">
            <v>Common Session Time: 16.30 – 17.30 hrs
 NOTE: All sessions in all tracks get suspended</v>
          </cell>
        </row>
        <row r="79">
          <cell r="A79" t="str">
            <v>Course Name</v>
          </cell>
          <cell r="E79" t="str">
            <v>Course Name</v>
          </cell>
        </row>
        <row r="80">
          <cell r="A80" t="str">
            <v>Chair</v>
          </cell>
          <cell r="E80" t="str">
            <v>Chair</v>
          </cell>
        </row>
        <row r="81">
          <cell r="A81" t="str">
            <v>Co-Chair</v>
          </cell>
          <cell r="E81" t="str">
            <v>Co-Chair</v>
          </cell>
        </row>
        <row r="82">
          <cell r="A82" t="str">
            <v>Moderator</v>
          </cell>
          <cell r="E82" t="str">
            <v>Moderator</v>
          </cell>
        </row>
        <row r="83">
          <cell r="A83" t="str">
            <v>Time</v>
          </cell>
          <cell r="C83" t="str">
            <v>Speakers</v>
          </cell>
          <cell r="E83" t="str">
            <v>Time</v>
          </cell>
          <cell r="G83" t="str">
            <v>Speakers</v>
          </cell>
        </row>
        <row r="92">
          <cell r="A92" t="str">
            <v>BREAK: 17.30- 18.00 hrs</v>
          </cell>
          <cell r="E92" t="str">
            <v>BREAK: 17.30- 18.00 hrs</v>
          </cell>
        </row>
        <row r="93">
          <cell r="A93" t="str">
            <v>18.00 hrs</v>
          </cell>
          <cell r="E93" t="str">
            <v>18.00 hrs</v>
          </cell>
        </row>
        <row r="94">
          <cell r="A94" t="str">
            <v xml:space="preserve">Dinner </v>
          </cell>
          <cell r="E94" t="str">
            <v xml:space="preserve">Dinner </v>
          </cell>
        </row>
      </sheetData>
      <sheetData sheetId="10"/>
      <sheetData sheetId="11"/>
      <sheetData sheetId="12">
        <row r="1">
          <cell r="A1" t="str">
            <v>INNOVATION, COLLABORATION AND IMPACT IN EYE CARE: VISION FOR VIKSIT BHARAT 2047
 11 – 12 July 2026 (Saturday and Sunday)
 Track 5: Sharing Knowledge Repository: Towards organization’s excellence &amp; growth</v>
          </cell>
          <cell r="E1" t="str">
            <v>INNOVATION, COLLABORATION AND IMPACT IN EYE CARE: VISION FOR VIKSIT BHARAT 2047
 11 – 12 July 2026 (Saturday and Sunday)
 Track 5: Sharing Knowledge Repository: Towards organization’s excellence &amp; growth</v>
          </cell>
        </row>
        <row r="2">
          <cell r="A2" t="str">
            <v>Day 2: 12 July 2026, Sunday                                                                                  Venue: Hall A</v>
          </cell>
          <cell r="E2" t="str">
            <v>Day 2: 12 July 2026, Sunday                                                                                                         Venue: Hall B</v>
          </cell>
        </row>
        <row r="3">
          <cell r="A3" t="str">
            <v>Session 11 - Target: Inclusive Eye Health                                                          Time: 09.00 – 10.00 hrs</v>
          </cell>
          <cell r="E3" t="str">
            <v>Session 15 - Research in Community Ophthalmology                                       Time: 09.00 – 10.00 hrs</v>
          </cell>
        </row>
        <row r="4">
          <cell r="A4" t="str">
            <v>Judge 1</v>
          </cell>
          <cell r="E4" t="str">
            <v>Judge 1</v>
          </cell>
        </row>
        <row r="5">
          <cell r="A5" t="str">
            <v>Judge 2</v>
          </cell>
          <cell r="E5" t="str">
            <v>Judge 2</v>
          </cell>
        </row>
        <row r="6">
          <cell r="A6" t="str">
            <v>Time</v>
          </cell>
          <cell r="C6" t="str">
            <v>Presenter</v>
          </cell>
          <cell r="E6" t="str">
            <v>Time</v>
          </cell>
          <cell r="G6" t="str">
            <v>Presenter</v>
          </cell>
        </row>
        <row r="7">
          <cell r="A7" t="str">
            <v>9:00 - 9:06</v>
          </cell>
          <cell r="C7" t="str">
            <v>Sushma CR, Thejashree K.S, Sankara Eye Foundation</v>
          </cell>
          <cell r="E7" t="str">
            <v>9:00 - 9:06</v>
          </cell>
          <cell r="G7" t="str">
            <v xml:space="preserve">CH Bhuvana Kalyani,Sankar Foundation Eye Hospital </v>
          </cell>
        </row>
        <row r="8">
          <cell r="A8" t="str">
            <v>9:07 - 9:12</v>
          </cell>
          <cell r="C8" t="str">
            <v>Femi K Sam, Herbertpur Christian Hospital</v>
          </cell>
          <cell r="E8" t="str">
            <v>9:07 - 9:12</v>
          </cell>
          <cell r="G8" t="str">
            <v>S. Lijiraj,Mission for Vision</v>
          </cell>
        </row>
        <row r="9">
          <cell r="A9" t="str">
            <v>9:13 - 9:18</v>
          </cell>
          <cell r="C9" t="str">
            <v>Urja Arora,Sightsavers India</v>
          </cell>
          <cell r="E9" t="str">
            <v>9:13 - 9:18</v>
          </cell>
          <cell r="G9" t="str">
            <v>Rishikesh Balvalli, Sankara Eye Foundation</v>
          </cell>
        </row>
        <row r="10">
          <cell r="A10" t="str">
            <v>9:19 - 9:24</v>
          </cell>
          <cell r="C10" t="str">
            <v>Anshu kumari,Shantilal Shangavi Eye Institute</v>
          </cell>
          <cell r="E10" t="str">
            <v>9:19 - 9:24</v>
          </cell>
          <cell r="G10" t="str">
            <v>Keerthana B,Gomabai Nethralaya</v>
          </cell>
        </row>
        <row r="11">
          <cell r="A11" t="str">
            <v>9:25 - 9:30</v>
          </cell>
          <cell r="C11" t="str">
            <v>Chellammal T, Aravind Eye Hospital</v>
          </cell>
          <cell r="E11" t="str">
            <v>9:25 - 9:30</v>
          </cell>
          <cell r="G11" t="str">
            <v>Priya Rai,Akhand Jyoti Eye Hospital</v>
          </cell>
        </row>
        <row r="12">
          <cell r="A12" t="str">
            <v>9:31 - 9:36</v>
          </cell>
          <cell r="C12" t="str">
            <v>Nasim Akhter, Dr Shroff Charity Eye Hospital</v>
          </cell>
          <cell r="E12" t="str">
            <v>9:31 - 9:36</v>
          </cell>
          <cell r="G12" t="str">
            <v>Pritamm Dutta, Chandraprabha Eye Hospital</v>
          </cell>
        </row>
        <row r="13">
          <cell r="A13" t="str">
            <v>9:37 - 9:42</v>
          </cell>
          <cell r="C13" t="str">
            <v>Dr Paramjit SUjlana,Dr Shroff Charity Eye Hospital</v>
          </cell>
          <cell r="E13" t="str">
            <v>9:37 - 9:42</v>
          </cell>
          <cell r="G13" t="str">
            <v>Harshada Kale,Optometry Confederation of India</v>
          </cell>
        </row>
        <row r="14">
          <cell r="A14" t="str">
            <v>9:43 - 9:48</v>
          </cell>
          <cell r="C14" t="str">
            <v>Aditya Kumar Singh,Dr. Shroff Charity Eye Hospital</v>
          </cell>
          <cell r="E14" t="str">
            <v>9:43 - 9:48</v>
          </cell>
          <cell r="G14" t="str">
            <v>Divyanshi Rathore,Dr. Shroff's Charity Eye Hospital</v>
          </cell>
        </row>
        <row r="15">
          <cell r="A15" t="str">
            <v>9:49 - 9:54</v>
          </cell>
          <cell r="C15" t="str">
            <v>Amruta Pattnayak,Dr. Shroff Charity Eye Hospital</v>
          </cell>
          <cell r="E15" t="str">
            <v>9:49 - 9:54</v>
          </cell>
          <cell r="G15" t="str">
            <v>Ayushi Jaiswal,Aurangabad Chikalthana Lions Eye Hospital</v>
          </cell>
        </row>
        <row r="16">
          <cell r="E16" t="str">
            <v>9.55-10.00</v>
          </cell>
          <cell r="G16" t="str">
            <v>Srini Karthikeyan,Sankara Eye Foundation</v>
          </cell>
        </row>
        <row r="17">
          <cell r="A17" t="str">
            <v>BREAK: 10 mins</v>
          </cell>
          <cell r="E17" t="str">
            <v>BREAK: 10 mins</v>
          </cell>
        </row>
        <row r="18">
          <cell r="A18" t="str">
            <v>Session 12 - Comprehensive Eye Care                                         Time: 10.10 – 11.10 hrs</v>
          </cell>
          <cell r="E18" t="str">
            <v>Session 16 - Hospital based studies in Community Ophthalmology               Time: 10.10 – 11.10 hrs</v>
          </cell>
        </row>
        <row r="19">
          <cell r="A19" t="str">
            <v>Judge 1</v>
          </cell>
          <cell r="E19" t="str">
            <v>Judge 1</v>
          </cell>
        </row>
        <row r="20">
          <cell r="A20" t="str">
            <v>Judge 2</v>
          </cell>
          <cell r="E20" t="str">
            <v>Judge 2</v>
          </cell>
        </row>
        <row r="21">
          <cell r="A21" t="str">
            <v>Time</v>
          </cell>
          <cell r="C21" t="str">
            <v>Presenter</v>
          </cell>
          <cell r="E21" t="str">
            <v>Time</v>
          </cell>
          <cell r="G21" t="str">
            <v>Presenter</v>
          </cell>
        </row>
        <row r="22">
          <cell r="A22" t="str">
            <v>10:10 - 10:16</v>
          </cell>
          <cell r="C22" t="str">
            <v>Shubhrakanti Bhattacharya,Mission for Vision</v>
          </cell>
          <cell r="E22" t="str">
            <v>10:10 - 10:16</v>
          </cell>
          <cell r="G22" t="str">
            <v>Kavinkumaar P K, Sankara Eye Foundation</v>
          </cell>
        </row>
        <row r="23">
          <cell r="A23" t="str">
            <v>10:17 - 10:22</v>
          </cell>
          <cell r="C23" t="str">
            <v>Jeya Kohila G,Aravind Eye Hospital</v>
          </cell>
          <cell r="E23" t="str">
            <v>10:17 - 10:22</v>
          </cell>
          <cell r="G23" t="str">
            <v xml:space="preserve">Pankaj Harishchandra Gaikwad,Tulsi Eye Hospital </v>
          </cell>
        </row>
        <row r="24">
          <cell r="A24" t="str">
            <v>10:23 - 10:28</v>
          </cell>
          <cell r="C24" t="str">
            <v>Raichel R,Aravind Eye Hospital</v>
          </cell>
          <cell r="E24" t="str">
            <v>10:23 - 10:28</v>
          </cell>
          <cell r="G24" t="str">
            <v>Vimal Prajapati,Divyajyoti Trust</v>
          </cell>
        </row>
        <row r="25">
          <cell r="A25" t="str">
            <v>10:29 - 10:34</v>
          </cell>
          <cell r="C25" t="str">
            <v xml:space="preserve"> M. Sarmila,Aravind Eye Hospital</v>
          </cell>
          <cell r="E25" t="str">
            <v>10:29 - 10:34</v>
          </cell>
          <cell r="G25" t="str">
            <v>Nishat Rana Shaikh Abdul Jawed ,Sankara Eye Foundation</v>
          </cell>
        </row>
        <row r="26">
          <cell r="A26" t="str">
            <v>10:35 - 19:40</v>
          </cell>
          <cell r="C26" t="str">
            <v>Mayank Rai,LV Prasad Eye Institute</v>
          </cell>
          <cell r="E26" t="str">
            <v>10:35 - 19:40</v>
          </cell>
          <cell r="G26" t="str">
            <v>Ranjith Kumar M,Sankara Eye Foundation</v>
          </cell>
        </row>
        <row r="27">
          <cell r="A27" t="str">
            <v>10:41 - 10:46</v>
          </cell>
          <cell r="C27" t="str">
            <v xml:space="preserve">Faisal Khurshid,Dolphins PG college </v>
          </cell>
          <cell r="E27" t="str">
            <v>10:41 - 10:46</v>
          </cell>
          <cell r="G27" t="str">
            <v>Anitha S,Sankara Eye Foundation</v>
          </cell>
        </row>
        <row r="28">
          <cell r="A28" t="str">
            <v>10:47 - 10:52</v>
          </cell>
          <cell r="C28" t="str">
            <v>Ragni Kumari,Uttar Pradesh University of Medical Sciences</v>
          </cell>
          <cell r="E28" t="str">
            <v>10:47 - 10:52</v>
          </cell>
          <cell r="G28" t="str">
            <v xml:space="preserve">Ravi Teja,Sankara Eye Foundation </v>
          </cell>
        </row>
        <row r="29">
          <cell r="A29" t="str">
            <v>10:53 - 10:58</v>
          </cell>
          <cell r="C29" t="str">
            <v>P.Gomathi,Aravind Eye Care System</v>
          </cell>
          <cell r="E29" t="str">
            <v>10:53 - 10:58</v>
          </cell>
          <cell r="G29" t="str">
            <v>Devarakonda Subramanyam, Gomabai Netralaya</v>
          </cell>
        </row>
        <row r="30">
          <cell r="A30" t="str">
            <v>10:59 - 11:04</v>
          </cell>
          <cell r="C30" t="str">
            <v>Sheeba Qumar, AIIMS</v>
          </cell>
          <cell r="E30" t="str">
            <v>10:59 - 11:04</v>
          </cell>
          <cell r="G30" t="str">
            <v>Sandeep, Dr.Shroff Charity Eye hospital</v>
          </cell>
        </row>
        <row r="31">
          <cell r="A31" t="str">
            <v>11:05 - 11:10</v>
          </cell>
          <cell r="C31" t="str">
            <v>Zeba,Dr. Shroff's Charity Eye Hospital</v>
          </cell>
          <cell r="E31" t="str">
            <v>11:05 - 11:10</v>
          </cell>
          <cell r="G31" t="str">
            <v>Vasanth Kumar S, Sankara Eye Foundation</v>
          </cell>
        </row>
        <row r="32">
          <cell r="A32" t="str">
            <v>Session 13 - Quality in Eye Health                                               Time: 11.20 -12.20 hrs</v>
          </cell>
        </row>
        <row r="33">
          <cell r="A33" t="str">
            <v>Judge 1</v>
          </cell>
        </row>
        <row r="34">
          <cell r="A34" t="str">
            <v>Judge 2</v>
          </cell>
        </row>
        <row r="35">
          <cell r="A35" t="str">
            <v>Time</v>
          </cell>
          <cell r="C35" t="str">
            <v>Presenter</v>
          </cell>
        </row>
        <row r="36">
          <cell r="A36" t="str">
            <v>11:20 - 11:26</v>
          </cell>
          <cell r="C36" t="str">
            <v>Geeta Fulari, Sankara Eye Foundation</v>
          </cell>
        </row>
        <row r="37">
          <cell r="A37" t="str">
            <v>11:27 - 11:32</v>
          </cell>
          <cell r="C37" t="str">
            <v>Kalyani V,  Sankara Eye Foundation</v>
          </cell>
        </row>
        <row r="38">
          <cell r="A38" t="str">
            <v>11:33 - 11:38</v>
          </cell>
          <cell r="C38" t="str">
            <v>Rutul Himanshu Shah, Mission for Vision</v>
          </cell>
        </row>
        <row r="39">
          <cell r="A39" t="str">
            <v>11:39 - 11:44</v>
          </cell>
          <cell r="C39" t="str">
            <v>Manish Kumar,Orbis International</v>
          </cell>
        </row>
        <row r="40">
          <cell r="A40" t="str">
            <v>11:45 - 11:50</v>
          </cell>
          <cell r="C40" t="str">
            <v>Mohit Kashyap,Dr Shroff's Charity Eye Hospital</v>
          </cell>
        </row>
        <row r="41">
          <cell r="A41" t="str">
            <v>11:51 - 11:56</v>
          </cell>
          <cell r="C41" t="str">
            <v>Kalaivani Sukumaran,Sankara Eye Foundation</v>
          </cell>
        </row>
        <row r="42">
          <cell r="A42" t="str">
            <v>11:57 - 12:02</v>
          </cell>
          <cell r="C42" t="str">
            <v>Geeta Fulari, Sankara Eye Foundation</v>
          </cell>
        </row>
        <row r="43">
          <cell r="A43" t="str">
            <v>12:03 - 12:08</v>
          </cell>
          <cell r="C43" t="str">
            <v>Syed Ali Abdul Wahid, Aravind Eye Hospital</v>
          </cell>
        </row>
        <row r="44">
          <cell r="A44" t="str">
            <v>12:09 - 12:14</v>
          </cell>
          <cell r="C44" t="str">
            <v>Mohit Kashyap, Dr Shroff's Charity Eye Hospital</v>
          </cell>
        </row>
        <row r="45">
          <cell r="A45" t="str">
            <v>12:15 - 12:20</v>
          </cell>
          <cell r="C45" t="str">
            <v>R Vignesh,Sankara Eye Foundation</v>
          </cell>
        </row>
        <row r="46">
          <cell r="A46" t="str">
            <v>BREAK: 10 mins</v>
          </cell>
        </row>
        <row r="47">
          <cell r="A47" t="str">
            <v>Session 14 - Sustainability in Eye Health                             Time: 12.30 - 13.30 hrs</v>
          </cell>
        </row>
        <row r="48">
          <cell r="A48" t="str">
            <v>Judge 1</v>
          </cell>
        </row>
        <row r="49">
          <cell r="A49" t="str">
            <v>Judge 2</v>
          </cell>
        </row>
        <row r="50">
          <cell r="A50" t="str">
            <v>Time</v>
          </cell>
          <cell r="C50" t="str">
            <v>Presenter</v>
          </cell>
        </row>
        <row r="51">
          <cell r="A51" t="str">
            <v>12:30 - 12:36</v>
          </cell>
          <cell r="C51" t="str">
            <v>Sathish Nagappan,CBM India Trust</v>
          </cell>
        </row>
        <row r="52">
          <cell r="A52" t="str">
            <v>12:37 - 12:42</v>
          </cell>
          <cell r="C52" t="str">
            <v>Anil Mahto,MGM Eye Institute</v>
          </cell>
        </row>
        <row r="53">
          <cell r="A53" t="str">
            <v>12:43 - 12:48</v>
          </cell>
          <cell r="C53" t="str">
            <v>Atul Kamath M, Yenepoya Medical College and Hospital</v>
          </cell>
        </row>
        <row r="54">
          <cell r="A54" t="str">
            <v>12:49 - 12:54</v>
          </cell>
          <cell r="C54" t="str">
            <v>Devarakonda Subramanyam,Gomabai Netralaya</v>
          </cell>
        </row>
        <row r="55">
          <cell r="A55" t="str">
            <v>12:55 - 13:00</v>
          </cell>
          <cell r="C55" t="str">
            <v>Manish Kumar ,Dr Shroff Charity Eye Hospital</v>
          </cell>
        </row>
        <row r="56">
          <cell r="A56" t="str">
            <v>13:01 - 13:06</v>
          </cell>
          <cell r="C56" t="str">
            <v>Agatha Susan Jero,India Vision Institute</v>
          </cell>
        </row>
        <row r="57">
          <cell r="A57" t="str">
            <v>13:07 - 13:12</v>
          </cell>
          <cell r="C57" t="str">
            <v xml:space="preserve">Mohd Javed Nayab,Dr Shroff's Charity Eye Hospital </v>
          </cell>
        </row>
        <row r="58">
          <cell r="A58" t="str">
            <v>13:13 - 13:18</v>
          </cell>
          <cell r="C58" t="str">
            <v>Sheeladevi Sethu, Dr Shroff Charity Eye Hospital</v>
          </cell>
        </row>
        <row r="59">
          <cell r="A59" t="str">
            <v>13:19 - 13:24</v>
          </cell>
          <cell r="C59" t="str">
            <v>Samina  Zamindar, Zamindar Micro Surgical Eye Centre</v>
          </cell>
        </row>
        <row r="60">
          <cell r="A60" t="str">
            <v>13:25 - 13:30</v>
          </cell>
        </row>
        <row r="61">
          <cell r="A61" t="str">
            <v>LUNCH: 13.30- 14.30 hrs</v>
          </cell>
        </row>
        <row r="62">
          <cell r="A62" t="str">
            <v>BEST OF THE BEST Plenary Session                                    Session Time: 14.30 – 16.30 hrs</v>
          </cell>
        </row>
        <row r="63">
          <cell r="A63" t="str">
            <v>Judge 1</v>
          </cell>
        </row>
        <row r="64">
          <cell r="A64" t="str">
            <v>Judge 2</v>
          </cell>
        </row>
        <row r="65">
          <cell r="A65" t="str">
            <v>Judge 3</v>
          </cell>
        </row>
        <row r="66">
          <cell r="A66" t="str">
            <v>Time</v>
          </cell>
          <cell r="C66" t="str">
            <v>Presenter</v>
          </cell>
        </row>
        <row r="67">
          <cell r="A67" t="str">
            <v>14.30-14.36</v>
          </cell>
        </row>
        <row r="68">
          <cell r="A68" t="str">
            <v>14.37-14.43</v>
          </cell>
        </row>
        <row r="69">
          <cell r="A69" t="str">
            <v>14.44-14.50</v>
          </cell>
        </row>
        <row r="70">
          <cell r="A70" t="str">
            <v>14.51-14.57</v>
          </cell>
        </row>
        <row r="71">
          <cell r="A71" t="str">
            <v>14.58-15.04</v>
          </cell>
        </row>
        <row r="72">
          <cell r="A72" t="str">
            <v>15.05-15.11</v>
          </cell>
        </row>
        <row r="73">
          <cell r="A73" t="str">
            <v>15.12-15.18</v>
          </cell>
        </row>
        <row r="74">
          <cell r="A74" t="str">
            <v>15.19-15.25</v>
          </cell>
        </row>
        <row r="75">
          <cell r="A75" t="str">
            <v>15.26-15.32</v>
          </cell>
        </row>
        <row r="76">
          <cell r="A76" t="str">
            <v>15.33-15.39</v>
          </cell>
        </row>
        <row r="77">
          <cell r="A77" t="str">
            <v>15.40-15.46</v>
          </cell>
        </row>
        <row r="78">
          <cell r="A78" t="str">
            <v>15.47-15.53</v>
          </cell>
        </row>
        <row r="79">
          <cell r="A79" t="str">
            <v>15.54-16.00</v>
          </cell>
        </row>
        <row r="80">
          <cell r="A80" t="str">
            <v>16.01-16.06</v>
          </cell>
        </row>
        <row r="81">
          <cell r="A81" t="str">
            <v>16.07-16.13</v>
          </cell>
        </row>
        <row r="82">
          <cell r="A82" t="str">
            <v>16.14-16.20</v>
          </cell>
        </row>
        <row r="83">
          <cell r="A83" t="str">
            <v>16:21-16:30</v>
          </cell>
        </row>
        <row r="84">
          <cell r="A84" t="str">
            <v>END OF THE CONFERENCE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021B-B3AE-4D55-8ABE-861D72F20191}">
  <dimension ref="A1:U953"/>
  <sheetViews>
    <sheetView tabSelected="1" topLeftCell="A224" workbookViewId="0">
      <selection activeCell="J5" sqref="J5"/>
    </sheetView>
  </sheetViews>
  <sheetFormatPr defaultColWidth="14.453125" defaultRowHeight="14.5" x14ac:dyDescent="0.35"/>
  <cols>
    <col min="1" max="1" width="6.453125" customWidth="1"/>
    <col min="2" max="2" width="15.54296875" bestFit="1" customWidth="1"/>
    <col min="3" max="3" width="30.90625" customWidth="1"/>
    <col min="4" max="4" width="38.7265625" customWidth="1"/>
    <col min="5" max="5" width="19.6328125" customWidth="1"/>
    <col min="6" max="6" width="38" customWidth="1"/>
    <col min="7" max="7" width="8.6328125" customWidth="1"/>
    <col min="8" max="8" width="15.08984375" customWidth="1"/>
    <col min="9" max="9" width="10.54296875" bestFit="1" customWidth="1"/>
    <col min="10" max="10" width="57.90625" customWidth="1"/>
    <col min="11" max="12" width="8.6328125" customWidth="1"/>
  </cols>
  <sheetData>
    <row r="1" spans="1:10" ht="14.2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t="s">
        <v>8</v>
      </c>
      <c r="J1" s="5" t="s">
        <v>9</v>
      </c>
    </row>
    <row r="2" spans="1:10" ht="14.25" customHeight="1" x14ac:dyDescent="0.35">
      <c r="A2">
        <v>1</v>
      </c>
      <c r="B2">
        <v>111</v>
      </c>
      <c r="C2" s="6" t="s">
        <v>10</v>
      </c>
      <c r="D2" t="s">
        <v>11</v>
      </c>
      <c r="E2" s="6" t="s">
        <v>12</v>
      </c>
      <c r="F2" s="7" t="s">
        <v>13</v>
      </c>
      <c r="G2" s="8">
        <v>1</v>
      </c>
      <c r="H2" s="9" t="s">
        <v>14</v>
      </c>
      <c r="I2" t="str">
        <f>IF(H2="Track 1",IFERROR(_xlfn.XLOOKUP("*"&amp;LEFT(C2,FIND(" ",C2&amp;" ")-1)&amp;"*",'[1]Track 1'!$C$1:$C$99,'[1]Track 1'!$A$1:$A$99,,2),IFERROR(_xlfn.XLOOKUP("*"&amp;LEFT(C2,FIND(" ",C2&amp;" ")-1)&amp;"*",'[1]Track 1'!$H$1:$H$99,'[1]Track 1'!$E$1:$E$99,,2),"")),"")</f>
        <v>9.00-9.08</v>
      </c>
      <c r="J2" t="s">
        <v>604</v>
      </c>
    </row>
    <row r="3" spans="1:10" ht="14.25" customHeight="1" x14ac:dyDescent="0.35">
      <c r="A3">
        <v>2</v>
      </c>
      <c r="B3">
        <v>112</v>
      </c>
      <c r="C3" s="6" t="s">
        <v>15</v>
      </c>
      <c r="D3" t="s">
        <v>16</v>
      </c>
      <c r="E3" s="6" t="s">
        <v>12</v>
      </c>
      <c r="F3" s="7" t="s">
        <v>13</v>
      </c>
      <c r="G3" s="8">
        <v>1</v>
      </c>
      <c r="H3" s="9" t="s">
        <v>14</v>
      </c>
      <c r="I3" t="str">
        <f>IF(H3="Track 1",IFERROR(_xlfn.XLOOKUP("*"&amp;LEFT(C3,FIND(" ",C3&amp;" ")-1)&amp;"*",'[1]Track 1'!$C$1:$C$99,'[1]Track 1'!$A$1:$A$99,,2),IFERROR(_xlfn.XLOOKUP("*"&amp;LEFT(C3,FIND(" ",C3&amp;" ")-1)&amp;"*",'[1]Track 1'!$H$1:$H$99,'[1]Track 1'!$E$1:$E$99,,2),"")),"")</f>
        <v>9.08-9.16</v>
      </c>
      <c r="J3" t="s">
        <v>605</v>
      </c>
    </row>
    <row r="4" spans="1:10" ht="14.25" customHeight="1" x14ac:dyDescent="0.35">
      <c r="A4">
        <v>3</v>
      </c>
      <c r="B4">
        <v>113</v>
      </c>
      <c r="C4" t="s">
        <v>17</v>
      </c>
      <c r="D4" t="s">
        <v>18</v>
      </c>
      <c r="E4" s="6" t="s">
        <v>12</v>
      </c>
      <c r="F4" s="7" t="s">
        <v>13</v>
      </c>
      <c r="G4" s="8">
        <v>1</v>
      </c>
      <c r="H4" s="9" t="s">
        <v>14</v>
      </c>
      <c r="I4" t="str">
        <f>IF(H4="Track 1",IFERROR(_xlfn.XLOOKUP("*"&amp;LEFT(C4,FIND(" ",C4&amp;" ")-1)&amp;"*",'[1]Track 1'!$C$1:$C$99,'[1]Track 1'!$A$1:$A$99,,2),IFERROR(_xlfn.XLOOKUP("*"&amp;LEFT(C4,FIND(" ",C4&amp;" ")-1)&amp;"*",'[1]Track 1'!$H$1:$H$99,'[1]Track 1'!$E$1:$E$99,,2),"")),"")</f>
        <v>9.24-9.32</v>
      </c>
      <c r="J4" t="s">
        <v>606</v>
      </c>
    </row>
    <row r="5" spans="1:10" ht="14.25" customHeight="1" x14ac:dyDescent="0.35">
      <c r="A5">
        <v>4</v>
      </c>
      <c r="B5">
        <v>114</v>
      </c>
      <c r="C5" s="6" t="s">
        <v>19</v>
      </c>
      <c r="D5" t="s">
        <v>20</v>
      </c>
      <c r="E5" s="6" t="s">
        <v>12</v>
      </c>
      <c r="F5" s="7" t="s">
        <v>13</v>
      </c>
      <c r="G5" s="8">
        <v>1</v>
      </c>
      <c r="H5" s="9" t="s">
        <v>14</v>
      </c>
      <c r="I5" t="str">
        <f>IF(H5="Track 1",IFERROR(_xlfn.XLOOKUP("*"&amp;LEFT(C5,FIND(" ",C5&amp;" ")-1)&amp;"*",'[1]Track 1'!$C$1:$C$99,'[1]Track 1'!$A$1:$A$99,,2),IFERROR(_xlfn.XLOOKUP("*"&amp;LEFT(C5,FIND(" ",C5&amp;" ")-1)&amp;"*",'[1]Track 1'!$H$1:$H$99,'[1]Track 1'!$E$1:$E$99,,2),"")),"")</f>
        <v>9.32-9.40</v>
      </c>
      <c r="J5" t="s">
        <v>607</v>
      </c>
    </row>
    <row r="6" spans="1:10" ht="14.25" customHeight="1" x14ac:dyDescent="0.35">
      <c r="A6">
        <v>5</v>
      </c>
      <c r="B6">
        <v>115</v>
      </c>
      <c r="C6" s="10" t="s">
        <v>21</v>
      </c>
      <c r="D6" t="s">
        <v>22</v>
      </c>
      <c r="E6" s="6" t="s">
        <v>12</v>
      </c>
      <c r="F6" s="7" t="s">
        <v>13</v>
      </c>
      <c r="G6" s="8">
        <v>1</v>
      </c>
      <c r="H6" s="9" t="s">
        <v>14</v>
      </c>
      <c r="I6" t="str">
        <f>IF(H6="Track 1",IFERROR(_xlfn.XLOOKUP("*"&amp;LEFT(C6,FIND(" ",C6&amp;" ")-1)&amp;"*",'[1]Track 1'!$C$1:$C$99,'[1]Track 1'!$A$1:$A$99,,2),IFERROR(_xlfn.XLOOKUP("*"&amp;LEFT(C6,FIND(" ",C6&amp;" ")-1)&amp;"*",'[1]Track 1'!$H$1:$H$99,'[1]Track 1'!$E$1:$E$99,,2),"")),"")</f>
        <v>9.40-9.48</v>
      </c>
      <c r="J6" t="s">
        <v>608</v>
      </c>
    </row>
    <row r="7" spans="1:10" ht="14.25" customHeight="1" x14ac:dyDescent="0.35">
      <c r="A7">
        <v>6</v>
      </c>
      <c r="B7">
        <v>116</v>
      </c>
      <c r="C7" s="6" t="s">
        <v>23</v>
      </c>
      <c r="D7" t="s">
        <v>24</v>
      </c>
      <c r="E7" s="6" t="s">
        <v>25</v>
      </c>
      <c r="F7" s="7" t="s">
        <v>13</v>
      </c>
      <c r="G7" s="8">
        <v>1</v>
      </c>
      <c r="H7" s="9" t="s">
        <v>14</v>
      </c>
      <c r="I7" t="str">
        <f>IF(H7="Track 1",IFERROR(_xlfn.XLOOKUP("*"&amp;LEFT(C7,FIND(" ",C7&amp;" ")-1)&amp;"*",'[1]Track 1'!$C$1:$C$99,'[1]Track 1'!$A$1:$A$99,,2),IFERROR(_xlfn.XLOOKUP("*"&amp;LEFT(C7,FIND(" ",C7&amp;" ")-1)&amp;"*",'[1]Track 1'!$H$1:$H$99,'[1]Track 1'!$E$1:$E$99,,2),"")),"")</f>
        <v/>
      </c>
      <c r="J7" t="s">
        <v>134</v>
      </c>
    </row>
    <row r="8" spans="1:10" ht="14.25" customHeight="1" x14ac:dyDescent="0.35">
      <c r="A8">
        <v>7</v>
      </c>
      <c r="B8">
        <v>117</v>
      </c>
      <c r="C8" s="6" t="s">
        <v>19</v>
      </c>
      <c r="D8" t="s">
        <v>20</v>
      </c>
      <c r="E8" s="6" t="s">
        <v>26</v>
      </c>
      <c r="F8" s="7" t="s">
        <v>13</v>
      </c>
      <c r="G8" s="8">
        <v>1</v>
      </c>
      <c r="H8" s="9" t="s">
        <v>14</v>
      </c>
      <c r="I8" t="str">
        <f>IF(H8="Track 1",IFERROR(_xlfn.XLOOKUP("*"&amp;LEFT(C8,FIND(" ",C8&amp;" ")-1)&amp;"*",'[1]Track 1'!$C$1:$C$99,'[1]Track 1'!$A$1:$A$99,,2),IFERROR(_xlfn.XLOOKUP("*"&amp;LEFT(C8,FIND(" ",C8&amp;" ")-1)&amp;"*",'[1]Track 1'!$H$1:$H$99,'[1]Track 1'!$E$1:$E$99,,2),"")),"")</f>
        <v>9.32-9.40</v>
      </c>
      <c r="J8" t="s">
        <v>607</v>
      </c>
    </row>
    <row r="9" spans="1:10" ht="14.25" customHeight="1" x14ac:dyDescent="0.35">
      <c r="A9">
        <v>8</v>
      </c>
      <c r="B9">
        <v>118</v>
      </c>
      <c r="C9" s="6" t="s">
        <v>27</v>
      </c>
      <c r="D9" t="s">
        <v>28</v>
      </c>
      <c r="E9" s="6" t="s">
        <v>12</v>
      </c>
      <c r="F9" s="11" t="s">
        <v>29</v>
      </c>
      <c r="G9" s="8">
        <v>1</v>
      </c>
      <c r="H9" s="9" t="s">
        <v>14</v>
      </c>
      <c r="I9" t="str">
        <f>IF(H9="Track 1",IFERROR(_xlfn.XLOOKUP("*"&amp;LEFT(C9,FIND(" ",C9&amp;" ")-1)&amp;"*",'[1]Track 1'!$C$1:$C$99,'[1]Track 1'!$A$1:$A$99,,2),IFERROR(_xlfn.XLOOKUP("*"&amp;LEFT(C9,FIND(" ",C9&amp;" ")-1)&amp;"*",'[1]Track 1'!$H$1:$H$99,'[1]Track 1'!$E$1:$E$99,,2),"")),"")</f>
        <v>10.15-10.35</v>
      </c>
      <c r="J9" t="s">
        <v>609</v>
      </c>
    </row>
    <row r="10" spans="1:10" ht="14.25" customHeight="1" x14ac:dyDescent="0.35">
      <c r="A10">
        <v>9</v>
      </c>
      <c r="B10">
        <v>119</v>
      </c>
      <c r="C10" s="6" t="s">
        <v>30</v>
      </c>
      <c r="D10" t="s">
        <v>31</v>
      </c>
      <c r="E10" s="6" t="s">
        <v>12</v>
      </c>
      <c r="F10" s="11" t="s">
        <v>29</v>
      </c>
      <c r="G10" s="8">
        <v>1</v>
      </c>
      <c r="H10" s="9" t="s">
        <v>14</v>
      </c>
      <c r="I10" t="str">
        <f>IF(H10="Track 1",IFERROR(_xlfn.XLOOKUP("*"&amp;LEFT(C10,FIND(" ",C10&amp;" ")-1)&amp;"*",'[1]Track 1'!$C$1:$C$99,'[1]Track 1'!$A$1:$A$99,,2),IFERROR(_xlfn.XLOOKUP("*"&amp;LEFT(C10,FIND(" ",C10&amp;" ")-1)&amp;"*",'[1]Track 1'!$H$1:$H$99,'[1]Track 1'!$E$1:$E$99,,2),"")),"")</f>
        <v>10.35-10.43</v>
      </c>
      <c r="J10" t="s">
        <v>610</v>
      </c>
    </row>
    <row r="11" spans="1:10" ht="14.25" customHeight="1" x14ac:dyDescent="0.35">
      <c r="A11">
        <v>10</v>
      </c>
      <c r="B11">
        <v>1110</v>
      </c>
      <c r="C11" s="6" t="s">
        <v>32</v>
      </c>
      <c r="D11" t="s">
        <v>33</v>
      </c>
      <c r="E11" s="6" t="s">
        <v>12</v>
      </c>
      <c r="F11" s="11" t="s">
        <v>29</v>
      </c>
      <c r="G11" s="8">
        <v>1</v>
      </c>
      <c r="H11" s="9" t="s">
        <v>14</v>
      </c>
      <c r="I11" t="str">
        <f>IF(H11="Track 1",IFERROR(_xlfn.XLOOKUP("*"&amp;LEFT(C11,FIND(" ",C11&amp;" ")-1)&amp;"*",'[1]Track 1'!$C$1:$C$99,'[1]Track 1'!$A$1:$A$99,,2),IFERROR(_xlfn.XLOOKUP("*"&amp;LEFT(C11,FIND(" ",C11&amp;" ")-1)&amp;"*",'[1]Track 1'!$H$1:$H$99,'[1]Track 1'!$E$1:$E$99,,2),"")),"")</f>
        <v>10.43-10.51</v>
      </c>
      <c r="J11" t="s">
        <v>611</v>
      </c>
    </row>
    <row r="12" spans="1:10" ht="14.25" customHeight="1" x14ac:dyDescent="0.35">
      <c r="A12">
        <v>11</v>
      </c>
      <c r="B12">
        <v>1111</v>
      </c>
      <c r="C12" s="12" t="s">
        <v>34</v>
      </c>
      <c r="D12" t="s">
        <v>35</v>
      </c>
      <c r="E12" s="6" t="s">
        <v>12</v>
      </c>
      <c r="F12" s="11" t="s">
        <v>29</v>
      </c>
      <c r="G12" s="8">
        <v>1</v>
      </c>
      <c r="H12" s="9" t="s">
        <v>14</v>
      </c>
      <c r="I12" t="str">
        <f>IF(H12="Track 1",IFERROR(_xlfn.XLOOKUP("*"&amp;LEFT(C12,FIND(" ",C12&amp;" ")-1)&amp;"*",'[1]Track 1'!$C$1:$C$99,'[1]Track 1'!$A$1:$A$99,,2),IFERROR(_xlfn.XLOOKUP("*"&amp;LEFT(C12,FIND(" ",C12&amp;" ")-1)&amp;"*",'[1]Track 1'!$H$1:$H$99,'[1]Track 1'!$E$1:$E$99,,2),"")),"")</f>
        <v>10.51-10.59</v>
      </c>
      <c r="J12" t="s">
        <v>612</v>
      </c>
    </row>
    <row r="13" spans="1:10" ht="14.25" customHeight="1" x14ac:dyDescent="0.35">
      <c r="A13">
        <v>12</v>
      </c>
      <c r="B13">
        <v>1112</v>
      </c>
      <c r="C13" s="6" t="s">
        <v>36</v>
      </c>
      <c r="D13" t="s">
        <v>33</v>
      </c>
      <c r="E13" s="6" t="s">
        <v>12</v>
      </c>
      <c r="F13" s="11" t="s">
        <v>29</v>
      </c>
      <c r="G13" s="8">
        <v>1</v>
      </c>
      <c r="H13" s="9" t="s">
        <v>14</v>
      </c>
      <c r="I13" t="str">
        <f>IF(H13="Track 1",IFERROR(_xlfn.XLOOKUP("*"&amp;LEFT(C13,FIND(" ",C13&amp;" ")-1)&amp;"*",'[1]Track 1'!$C$1:$C$99,'[1]Track 1'!$A$1:$A$99,,2),IFERROR(_xlfn.XLOOKUP("*"&amp;LEFT(C13,FIND(" ",C13&amp;" ")-1)&amp;"*",'[1]Track 1'!$H$1:$H$99,'[1]Track 1'!$E$1:$E$99,,2),"")),"")</f>
        <v>10.59-11.07</v>
      </c>
      <c r="J13" t="s">
        <v>613</v>
      </c>
    </row>
    <row r="14" spans="1:10" ht="14.25" customHeight="1" x14ac:dyDescent="0.35">
      <c r="A14">
        <v>13</v>
      </c>
      <c r="B14">
        <v>1113</v>
      </c>
      <c r="C14" s="6" t="s">
        <v>37</v>
      </c>
      <c r="D14" t="s">
        <v>22</v>
      </c>
      <c r="E14" s="6" t="s">
        <v>12</v>
      </c>
      <c r="F14" s="11" t="s">
        <v>29</v>
      </c>
      <c r="G14" s="8">
        <v>1</v>
      </c>
      <c r="H14" s="9" t="s">
        <v>14</v>
      </c>
      <c r="I14" t="str">
        <f>IF(H14="Track 1",IFERROR(_xlfn.XLOOKUP("*"&amp;LEFT(C14,FIND(" ",C14&amp;" ")-1)&amp;"*",'[1]Track 1'!$C$1:$C$99,'[1]Track 1'!$A$1:$A$99,,2),IFERROR(_xlfn.XLOOKUP("*"&amp;LEFT(C14,FIND(" ",C14&amp;" ")-1)&amp;"*",'[1]Track 1'!$H$1:$H$99,'[1]Track 1'!$E$1:$E$99,,2),"")),"")</f>
        <v>11.07-11.15</v>
      </c>
      <c r="J14" t="s">
        <v>614</v>
      </c>
    </row>
    <row r="15" spans="1:10" ht="14.25" customHeight="1" x14ac:dyDescent="0.35">
      <c r="A15">
        <v>14</v>
      </c>
      <c r="B15">
        <v>1114</v>
      </c>
      <c r="C15" s="6" t="s">
        <v>38</v>
      </c>
      <c r="D15" t="s">
        <v>39</v>
      </c>
      <c r="E15" s="6" t="s">
        <v>25</v>
      </c>
      <c r="F15" s="11" t="s">
        <v>29</v>
      </c>
      <c r="G15" s="8">
        <v>1</v>
      </c>
      <c r="H15" s="9" t="s">
        <v>14</v>
      </c>
      <c r="I15" t="str">
        <f>IF(H15="Track 1",IFERROR(_xlfn.XLOOKUP("*"&amp;LEFT(C15,FIND(" ",C15&amp;" ")-1)&amp;"*",'[1]Track 1'!$C$1:$C$99,'[1]Track 1'!$A$1:$A$99,,2),IFERROR(_xlfn.XLOOKUP("*"&amp;LEFT(C15,FIND(" ",C15&amp;" ")-1)&amp;"*",'[1]Track 1'!$H$1:$H$99,'[1]Track 1'!$E$1:$E$99,,2),"")),"")</f>
        <v>10.45-10.55</v>
      </c>
      <c r="J15" t="s">
        <v>615</v>
      </c>
    </row>
    <row r="16" spans="1:10" ht="14.25" customHeight="1" x14ac:dyDescent="0.35">
      <c r="A16">
        <v>15</v>
      </c>
      <c r="B16">
        <v>1115</v>
      </c>
      <c r="C16" s="6" t="s">
        <v>40</v>
      </c>
      <c r="D16" t="s">
        <v>33</v>
      </c>
      <c r="E16" s="6" t="s">
        <v>26</v>
      </c>
      <c r="F16" s="11" t="s">
        <v>29</v>
      </c>
      <c r="G16" s="8">
        <v>1</v>
      </c>
      <c r="H16" s="9" t="s">
        <v>14</v>
      </c>
      <c r="I16" t="str">
        <f>IF(H16="Track 1",IFERROR(_xlfn.XLOOKUP("*"&amp;LEFT(C16,FIND(" ",C16&amp;" ")-1)&amp;"*",'[1]Track 1'!$C$1:$C$99,'[1]Track 1'!$A$1:$A$99,,2),IFERROR(_xlfn.XLOOKUP("*"&amp;LEFT(C16,FIND(" ",C16&amp;" ")-1)&amp;"*",'[1]Track 1'!$H$1:$H$99,'[1]Track 1'!$E$1:$E$99,,2),"")),"")</f>
        <v/>
      </c>
      <c r="J16" t="s">
        <v>134</v>
      </c>
    </row>
    <row r="17" spans="1:10" ht="14.25" customHeight="1" x14ac:dyDescent="0.35">
      <c r="A17">
        <v>16</v>
      </c>
      <c r="B17">
        <v>1116</v>
      </c>
      <c r="C17" s="6" t="s">
        <v>41</v>
      </c>
      <c r="D17" t="s">
        <v>42</v>
      </c>
      <c r="E17" s="6" t="s">
        <v>12</v>
      </c>
      <c r="F17" s="7" t="s">
        <v>43</v>
      </c>
      <c r="G17" s="8">
        <v>1</v>
      </c>
      <c r="H17" s="9" t="s">
        <v>14</v>
      </c>
      <c r="I17" t="str">
        <f>IF(H17="Track 1",IFERROR(_xlfn.XLOOKUP("*"&amp;LEFT(C17,FIND(" ",C17&amp;" ")-1)&amp;"*",'[1]Track 1'!$C$1:$C$99,'[1]Track 1'!$A$1:$A$99,,2),IFERROR(_xlfn.XLOOKUP("*"&amp;LEFT(C17,FIND(" ",C17&amp;" ")-1)&amp;"*",'[1]Track 1'!$H$1:$H$99,'[1]Track 1'!$E$1:$E$99,,2),"")),"")</f>
        <v>12.40-12.48</v>
      </c>
      <c r="J17" t="s">
        <v>616</v>
      </c>
    </row>
    <row r="18" spans="1:10" ht="14.25" customHeight="1" x14ac:dyDescent="0.35">
      <c r="A18">
        <v>17</v>
      </c>
      <c r="B18">
        <v>1117</v>
      </c>
      <c r="C18" s="13" t="s">
        <v>44</v>
      </c>
      <c r="D18" t="s">
        <v>39</v>
      </c>
      <c r="E18" s="6" t="s">
        <v>12</v>
      </c>
      <c r="F18" s="7" t="s">
        <v>43</v>
      </c>
      <c r="G18" s="8">
        <v>1</v>
      </c>
      <c r="H18" s="9" t="s">
        <v>14</v>
      </c>
      <c r="I18" t="str">
        <f>IF(H18="Track 1",IFERROR(_xlfn.XLOOKUP("*"&amp;LEFT(C18,FIND(" ",C18&amp;" ")-1)&amp;"*",'[1]Track 1'!$C$1:$C$99,'[1]Track 1'!$A$1:$A$99,,2),IFERROR(_xlfn.XLOOKUP("*"&amp;LEFT(C18,FIND(" ",C18&amp;" ")-1)&amp;"*",'[1]Track 1'!$H$1:$H$99,'[1]Track 1'!$E$1:$E$99,,2),"")),"")</f>
        <v>12.48-12.56</v>
      </c>
      <c r="J18" t="s">
        <v>617</v>
      </c>
    </row>
    <row r="19" spans="1:10" ht="14.25" customHeight="1" x14ac:dyDescent="0.35">
      <c r="A19">
        <v>18</v>
      </c>
      <c r="B19">
        <v>1118</v>
      </c>
      <c r="C19" s="6" t="s">
        <v>45</v>
      </c>
      <c r="D19" t="s">
        <v>31</v>
      </c>
      <c r="E19" s="6" t="s">
        <v>12</v>
      </c>
      <c r="F19" s="7" t="s">
        <v>43</v>
      </c>
      <c r="G19" s="8">
        <v>1</v>
      </c>
      <c r="H19" s="9" t="s">
        <v>14</v>
      </c>
      <c r="I19" t="str">
        <f>IF(H19="Track 1",IFERROR(_xlfn.XLOOKUP("*"&amp;LEFT(C19,FIND(" ",C19&amp;" ")-1)&amp;"*",'[1]Track 1'!$C$1:$C$99,'[1]Track 1'!$A$1:$A$99,,2),IFERROR(_xlfn.XLOOKUP("*"&amp;LEFT(C19,FIND(" ",C19&amp;" ")-1)&amp;"*",'[1]Track 1'!$H$1:$H$99,'[1]Track 1'!$E$1:$E$99,,2),"")),"")</f>
        <v>12.56-13.04</v>
      </c>
      <c r="J19" t="s">
        <v>618</v>
      </c>
    </row>
    <row r="20" spans="1:10" ht="14.25" customHeight="1" x14ac:dyDescent="0.35">
      <c r="A20">
        <v>19</v>
      </c>
      <c r="B20">
        <v>1119</v>
      </c>
      <c r="C20" s="13" t="s">
        <v>46</v>
      </c>
      <c r="D20" t="s">
        <v>47</v>
      </c>
      <c r="E20" s="6" t="s">
        <v>12</v>
      </c>
      <c r="F20" s="7" t="s">
        <v>43</v>
      </c>
      <c r="G20" s="8">
        <v>1</v>
      </c>
      <c r="H20" s="9" t="s">
        <v>14</v>
      </c>
      <c r="I20" t="str">
        <f>IF(H20="Track 1",IFERROR(_xlfn.XLOOKUP("*"&amp;LEFT(C20,FIND(" ",C20&amp;" ")-1)&amp;"*",'[1]Track 1'!$C$1:$C$99,'[1]Track 1'!$A$1:$A$99,,2),IFERROR(_xlfn.XLOOKUP("*"&amp;LEFT(C20,FIND(" ",C20&amp;" ")-1)&amp;"*",'[1]Track 1'!$H$1:$H$99,'[1]Track 1'!$E$1:$E$99,,2),"")),"")</f>
        <v>13.04-13.12</v>
      </c>
      <c r="J20" t="s">
        <v>619</v>
      </c>
    </row>
    <row r="21" spans="1:10" ht="14.25" customHeight="1" x14ac:dyDescent="0.35">
      <c r="A21">
        <v>20</v>
      </c>
      <c r="B21">
        <v>1120</v>
      </c>
      <c r="C21" s="14" t="s">
        <v>48</v>
      </c>
      <c r="D21" t="s">
        <v>49</v>
      </c>
      <c r="E21" s="6" t="s">
        <v>12</v>
      </c>
      <c r="F21" s="7" t="s">
        <v>43</v>
      </c>
      <c r="G21" s="8">
        <v>1</v>
      </c>
      <c r="H21" s="9" t="s">
        <v>14</v>
      </c>
      <c r="I21" t="str">
        <f>IF(H21="Track 1",IFERROR(_xlfn.XLOOKUP("*"&amp;LEFT(C21,FIND(" ",C21&amp;" ")-1)&amp;"*",'[1]Track 1'!$C$1:$C$99,'[1]Track 1'!$A$1:$A$99,,2),IFERROR(_xlfn.XLOOKUP("*"&amp;LEFT(C21,FIND(" ",C21&amp;" ")-1)&amp;"*",'[1]Track 1'!$H$1:$H$99,'[1]Track 1'!$E$1:$E$99,,2),"")),"")</f>
        <v>13.12-13.20</v>
      </c>
      <c r="J21" t="s">
        <v>620</v>
      </c>
    </row>
    <row r="22" spans="1:10" ht="14.25" customHeight="1" x14ac:dyDescent="0.35">
      <c r="A22">
        <v>21</v>
      </c>
      <c r="B22">
        <v>1121</v>
      </c>
      <c r="C22" s="14" t="s">
        <v>48</v>
      </c>
      <c r="D22" t="s">
        <v>49</v>
      </c>
      <c r="E22" s="6" t="s">
        <v>25</v>
      </c>
      <c r="F22" s="7" t="s">
        <v>43</v>
      </c>
      <c r="G22" s="8">
        <v>1</v>
      </c>
      <c r="H22" s="9" t="s">
        <v>14</v>
      </c>
      <c r="I22" t="str">
        <f>IF(H22="Track 1",IFERROR(_xlfn.XLOOKUP("*"&amp;LEFT(C22,FIND(" ",C22&amp;" ")-1)&amp;"*",'[1]Track 1'!$C$1:$C$99,'[1]Track 1'!$A$1:$A$99,,2),IFERROR(_xlfn.XLOOKUP("*"&amp;LEFT(C22,FIND(" ",C22&amp;" ")-1)&amp;"*",'[1]Track 1'!$H$1:$H$99,'[1]Track 1'!$E$1:$E$99,,2),"")),"")</f>
        <v>13.12-13.20</v>
      </c>
      <c r="J22" t="s">
        <v>620</v>
      </c>
    </row>
    <row r="23" spans="1:10" ht="14.25" customHeight="1" x14ac:dyDescent="0.35">
      <c r="A23">
        <v>22</v>
      </c>
      <c r="B23">
        <v>1122</v>
      </c>
      <c r="C23" s="15" t="s">
        <v>50</v>
      </c>
      <c r="D23" t="s">
        <v>51</v>
      </c>
      <c r="E23" s="6" t="s">
        <v>26</v>
      </c>
      <c r="F23" s="7" t="s">
        <v>43</v>
      </c>
      <c r="G23" s="8">
        <v>1</v>
      </c>
      <c r="H23" s="9" t="s">
        <v>14</v>
      </c>
      <c r="I23" t="str">
        <f>IF(H23="Track 1",IFERROR(_xlfn.XLOOKUP("*"&amp;LEFT(C23,FIND(" ",C23&amp;" ")-1)&amp;"*",'[1]Track 1'!$C$1:$C$99,'[1]Track 1'!$A$1:$A$99,,2),IFERROR(_xlfn.XLOOKUP("*"&amp;LEFT(C23,FIND(" ",C23&amp;" ")-1)&amp;"*",'[1]Track 1'!$H$1:$H$99,'[1]Track 1'!$E$1:$E$99,,2),"")),"")</f>
        <v>11.50-12.30</v>
      </c>
      <c r="J23" t="s">
        <v>621</v>
      </c>
    </row>
    <row r="24" spans="1:10" ht="14.25" customHeight="1" x14ac:dyDescent="0.35">
      <c r="A24">
        <v>23</v>
      </c>
      <c r="B24">
        <v>1123</v>
      </c>
      <c r="C24" s="16" t="s">
        <v>52</v>
      </c>
      <c r="D24" t="s">
        <v>53</v>
      </c>
      <c r="E24" s="6" t="s">
        <v>12</v>
      </c>
      <c r="F24" s="7" t="s">
        <v>54</v>
      </c>
      <c r="G24" s="8">
        <v>1</v>
      </c>
      <c r="H24" s="9" t="s">
        <v>14</v>
      </c>
      <c r="I24" t="str">
        <f>IF(H24="Track 1",IFERROR(_xlfn.XLOOKUP("*"&amp;LEFT(C24,FIND(" ",C24&amp;" ")-1)&amp;"*",'[1]Track 1'!$C$1:$C$99,'[1]Track 1'!$A$1:$A$99,,2),IFERROR(_xlfn.XLOOKUP("*"&amp;LEFT(C24,FIND(" ",C24&amp;" ")-1)&amp;"*",'[1]Track 1'!$H$1:$H$99,'[1]Track 1'!$E$1:$E$99,,2),"")),"")</f>
        <v>11.56-12.04</v>
      </c>
      <c r="J24" s="17" t="s">
        <v>622</v>
      </c>
    </row>
    <row r="25" spans="1:10" ht="14.25" customHeight="1" x14ac:dyDescent="0.35">
      <c r="A25">
        <v>24</v>
      </c>
      <c r="B25">
        <v>1124</v>
      </c>
      <c r="C25" s="13" t="s">
        <v>55</v>
      </c>
      <c r="D25" t="s">
        <v>56</v>
      </c>
      <c r="E25" s="6" t="s">
        <v>12</v>
      </c>
      <c r="F25" s="7" t="s">
        <v>54</v>
      </c>
      <c r="G25" s="8">
        <v>1</v>
      </c>
      <c r="H25" s="9" t="s">
        <v>14</v>
      </c>
      <c r="I25" t="str">
        <f>IF(H25="Track 1",IFERROR(_xlfn.XLOOKUP("*"&amp;LEFT(C25,FIND(" ",C25&amp;" ")-1)&amp;"*",'[1]Track 1'!$C$1:$C$99,'[1]Track 1'!$A$1:$A$99,,2),IFERROR(_xlfn.XLOOKUP("*"&amp;LEFT(C25,FIND(" ",C25&amp;" ")-1)&amp;"*",'[1]Track 1'!$H$1:$H$99,'[1]Track 1'!$E$1:$E$99,,2),"")),"")</f>
        <v>12.04-12.12</v>
      </c>
      <c r="J25" s="18" t="s">
        <v>623</v>
      </c>
    </row>
    <row r="26" spans="1:10" ht="14.25" customHeight="1" x14ac:dyDescent="0.35">
      <c r="A26">
        <v>25</v>
      </c>
      <c r="B26">
        <v>1125</v>
      </c>
      <c r="C26" s="13" t="s">
        <v>57</v>
      </c>
      <c r="D26" t="s">
        <v>56</v>
      </c>
      <c r="E26" s="6" t="s">
        <v>12</v>
      </c>
      <c r="F26" s="7" t="s">
        <v>54</v>
      </c>
      <c r="G26" s="8">
        <v>1</v>
      </c>
      <c r="H26" s="9" t="s">
        <v>14</v>
      </c>
      <c r="I26" t="str">
        <f>IF(H26="Track 1",IFERROR(_xlfn.XLOOKUP("*"&amp;LEFT(C26,FIND(" ",C26&amp;" ")-1)&amp;"*",'[1]Track 1'!$C$1:$C$99,'[1]Track 1'!$A$1:$A$99,,2),IFERROR(_xlfn.XLOOKUP("*"&amp;LEFT(C26,FIND(" ",C26&amp;" ")-1)&amp;"*",'[1]Track 1'!$H$1:$H$99,'[1]Track 1'!$E$1:$E$99,,2),"")),"")</f>
        <v>11.50-12.30</v>
      </c>
      <c r="J26" t="s">
        <v>621</v>
      </c>
    </row>
    <row r="27" spans="1:10" ht="14.25" customHeight="1" x14ac:dyDescent="0.35">
      <c r="A27">
        <v>26</v>
      </c>
      <c r="B27">
        <v>1126</v>
      </c>
      <c r="C27" s="6" t="s">
        <v>58</v>
      </c>
      <c r="D27" t="s">
        <v>24</v>
      </c>
      <c r="E27" s="6" t="s">
        <v>25</v>
      </c>
      <c r="F27" s="7" t="s">
        <v>54</v>
      </c>
      <c r="G27" s="8">
        <v>1</v>
      </c>
      <c r="H27" s="9" t="s">
        <v>14</v>
      </c>
      <c r="I27" t="str">
        <f>IF(H27="Track 1",IFERROR(_xlfn.XLOOKUP("*"&amp;LEFT(C27,FIND(" ",C27&amp;" ")-1)&amp;"*",'[1]Track 1'!$C$1:$C$99,'[1]Track 1'!$A$1:$A$99,,2),IFERROR(_xlfn.XLOOKUP("*"&amp;LEFT(C27,FIND(" ",C27&amp;" ")-1)&amp;"*",'[1]Track 1'!$H$1:$H$99,'[1]Track 1'!$E$1:$E$99,,2),"")),"")</f>
        <v>11.30-11.40</v>
      </c>
      <c r="J27" t="s">
        <v>624</v>
      </c>
    </row>
    <row r="28" spans="1:10" ht="14.25" customHeight="1" x14ac:dyDescent="0.35">
      <c r="A28">
        <v>27</v>
      </c>
      <c r="B28">
        <v>1127</v>
      </c>
      <c r="C28" s="19" t="s">
        <v>59</v>
      </c>
      <c r="D28" t="s">
        <v>56</v>
      </c>
      <c r="E28" s="6" t="s">
        <v>26</v>
      </c>
      <c r="F28" s="7" t="s">
        <v>54</v>
      </c>
      <c r="G28" s="8">
        <v>1</v>
      </c>
      <c r="H28" s="9" t="s">
        <v>14</v>
      </c>
      <c r="I28" t="str">
        <f>IF(H28="Track 1",IFERROR(_xlfn.XLOOKUP("*"&amp;LEFT(C28,FIND(" ",C28&amp;" ")-1)&amp;"*",'[1]Track 1'!$C$1:$C$99,'[1]Track 1'!$A$1:$A$99,,2),IFERROR(_xlfn.XLOOKUP("*"&amp;LEFT(C28,FIND(" ",C28&amp;" ")-1)&amp;"*",'[1]Track 1'!$H$1:$H$99,'[1]Track 1'!$E$1:$E$99,,2),"")),"")</f>
        <v>12.20-12.30</v>
      </c>
      <c r="J28" s="20" t="s">
        <v>625</v>
      </c>
    </row>
    <row r="29" spans="1:10" ht="14.25" customHeight="1" x14ac:dyDescent="0.35">
      <c r="A29">
        <v>28</v>
      </c>
      <c r="B29">
        <v>1128</v>
      </c>
      <c r="C29" s="6" t="s">
        <v>60</v>
      </c>
      <c r="D29" t="s">
        <v>61</v>
      </c>
      <c r="E29" s="6" t="s">
        <v>12</v>
      </c>
      <c r="F29" s="7" t="s">
        <v>62</v>
      </c>
      <c r="G29" s="8">
        <v>1</v>
      </c>
      <c r="H29" s="9" t="s">
        <v>14</v>
      </c>
      <c r="I29" t="str">
        <f>IF(H29="Track 1",IFERROR(_xlfn.XLOOKUP("*"&amp;LEFT(C29,FIND(" ",C29&amp;" ")-1)&amp;"*",'[1]Track 1'!$C$1:$C$99,'[1]Track 1'!$A$1:$A$99,,2),IFERROR(_xlfn.XLOOKUP("*"&amp;LEFT(C29,FIND(" ",C29&amp;" ")-1)&amp;"*",'[1]Track 1'!$H$1:$H$99,'[1]Track 1'!$E$1:$E$99,,2),"")),"")</f>
        <v>14.30-14.38</v>
      </c>
      <c r="J29" t="s">
        <v>626</v>
      </c>
    </row>
    <row r="30" spans="1:10" ht="14.25" customHeight="1" x14ac:dyDescent="0.35">
      <c r="A30">
        <v>29</v>
      </c>
      <c r="B30">
        <v>1129</v>
      </c>
      <c r="C30" s="6" t="s">
        <v>63</v>
      </c>
      <c r="D30" t="s">
        <v>42</v>
      </c>
      <c r="E30" s="6" t="s">
        <v>12</v>
      </c>
      <c r="F30" s="7" t="s">
        <v>62</v>
      </c>
      <c r="G30" s="8">
        <v>1</v>
      </c>
      <c r="H30" s="9" t="s">
        <v>14</v>
      </c>
      <c r="I30" t="str">
        <f>IF(H30="Track 1",IFERROR(_xlfn.XLOOKUP("*"&amp;LEFT(C30,FIND(" ",C30&amp;" ")-1)&amp;"*",'[1]Track 1'!$C$1:$C$99,'[1]Track 1'!$A$1:$A$99,,2),IFERROR(_xlfn.XLOOKUP("*"&amp;LEFT(C30,FIND(" ",C30&amp;" ")-1)&amp;"*",'[1]Track 1'!$H$1:$H$99,'[1]Track 1'!$E$1:$E$99,,2),"")),"")</f>
        <v>12.56-13.04</v>
      </c>
      <c r="J30" t="s">
        <v>618</v>
      </c>
    </row>
    <row r="31" spans="1:10" ht="14.25" customHeight="1" x14ac:dyDescent="0.35">
      <c r="A31">
        <v>30</v>
      </c>
      <c r="B31">
        <v>1130</v>
      </c>
      <c r="C31" s="13" t="s">
        <v>64</v>
      </c>
      <c r="D31" t="s">
        <v>65</v>
      </c>
      <c r="E31" s="6" t="s">
        <v>12</v>
      </c>
      <c r="F31" s="7" t="s">
        <v>62</v>
      </c>
      <c r="G31" s="8">
        <v>1</v>
      </c>
      <c r="H31" s="9" t="s">
        <v>14</v>
      </c>
      <c r="I31" t="str">
        <f>IF(H31="Track 1",IFERROR(_xlfn.XLOOKUP("*"&amp;LEFT(C31,FIND(" ",C31&amp;" ")-1)&amp;"*",'[1]Track 1'!$C$1:$C$99,'[1]Track 1'!$A$1:$A$99,,2),IFERROR(_xlfn.XLOOKUP("*"&amp;LEFT(C31,FIND(" ",C31&amp;" ")-1)&amp;"*",'[1]Track 1'!$H$1:$H$99,'[1]Track 1'!$E$1:$E$99,,2),"")),"")</f>
        <v>14.46-14.54</v>
      </c>
      <c r="J31" t="s">
        <v>627</v>
      </c>
    </row>
    <row r="32" spans="1:10" ht="14.25" customHeight="1" x14ac:dyDescent="0.35">
      <c r="A32">
        <v>31</v>
      </c>
      <c r="B32">
        <v>1131</v>
      </c>
      <c r="C32" s="13" t="s">
        <v>66</v>
      </c>
      <c r="D32" t="s">
        <v>65</v>
      </c>
      <c r="E32" s="6" t="s">
        <v>12</v>
      </c>
      <c r="F32" s="7" t="s">
        <v>62</v>
      </c>
      <c r="G32" s="8">
        <v>1</v>
      </c>
      <c r="H32" s="9" t="s">
        <v>14</v>
      </c>
      <c r="I32" t="str">
        <f>IF(H32="Track 1",IFERROR(_xlfn.XLOOKUP("*"&amp;LEFT(C32,FIND(" ",C32&amp;" ")-1)&amp;"*",'[1]Track 1'!$C$1:$C$99,'[1]Track 1'!$A$1:$A$99,,2),IFERROR(_xlfn.XLOOKUP("*"&amp;LEFT(C32,FIND(" ",C32&amp;" ")-1)&amp;"*",'[1]Track 1'!$H$1:$H$99,'[1]Track 1'!$E$1:$E$99,,2),"")),"")</f>
        <v>14.54-15.02</v>
      </c>
      <c r="J32" t="s">
        <v>628</v>
      </c>
    </row>
    <row r="33" spans="1:10" ht="14.25" customHeight="1" x14ac:dyDescent="0.35">
      <c r="A33">
        <v>32</v>
      </c>
      <c r="B33">
        <v>1132</v>
      </c>
      <c r="C33" s="13" t="s">
        <v>67</v>
      </c>
      <c r="D33" t="s">
        <v>68</v>
      </c>
      <c r="E33" s="6" t="s">
        <v>12</v>
      </c>
      <c r="F33" s="7" t="s">
        <v>62</v>
      </c>
      <c r="G33" s="8">
        <v>1</v>
      </c>
      <c r="H33" s="9" t="s">
        <v>14</v>
      </c>
      <c r="I33" t="str">
        <f>IF(H33="Track 1",IFERROR(_xlfn.XLOOKUP("*"&amp;LEFT(C33,FIND(" ",C33&amp;" ")-1)&amp;"*",'[1]Track 1'!$C$1:$C$99,'[1]Track 1'!$A$1:$A$99,,2),IFERROR(_xlfn.XLOOKUP("*"&amp;LEFT(C33,FIND(" ",C33&amp;" ")-1)&amp;"*",'[1]Track 1'!$H$1:$H$99,'[1]Track 1'!$E$1:$E$99,,2),"")),"")</f>
        <v>15.02-15.10</v>
      </c>
      <c r="J33" s="21" t="s">
        <v>629</v>
      </c>
    </row>
    <row r="34" spans="1:10" ht="14.25" customHeight="1" x14ac:dyDescent="0.35">
      <c r="A34">
        <v>33</v>
      </c>
      <c r="B34">
        <v>1133</v>
      </c>
      <c r="C34" s="13" t="s">
        <v>69</v>
      </c>
      <c r="D34" t="s">
        <v>70</v>
      </c>
      <c r="E34" s="6" t="s">
        <v>12</v>
      </c>
      <c r="F34" s="7" t="s">
        <v>62</v>
      </c>
      <c r="G34" s="8">
        <v>1</v>
      </c>
      <c r="H34" s="9" t="s">
        <v>14</v>
      </c>
      <c r="I34" t="str">
        <f>IF(H34="Track 1",IFERROR(_xlfn.XLOOKUP("*"&amp;LEFT(C34,FIND(" ",C34&amp;" ")-1)&amp;"*",'[1]Track 1'!$C$1:$C$99,'[1]Track 1'!$A$1:$A$99,,2),IFERROR(_xlfn.XLOOKUP("*"&amp;LEFT(C34,FIND(" ",C34&amp;" ")-1)&amp;"*",'[1]Track 1'!$H$1:$H$99,'[1]Track 1'!$E$1:$E$99,,2),"")),"")</f>
        <v>15.10-15.18</v>
      </c>
      <c r="J34" t="s">
        <v>630</v>
      </c>
    </row>
    <row r="35" spans="1:10" ht="14.25" customHeight="1" x14ac:dyDescent="0.35">
      <c r="A35">
        <v>34</v>
      </c>
      <c r="B35">
        <v>1134</v>
      </c>
      <c r="C35" s="13" t="s">
        <v>71</v>
      </c>
      <c r="D35" t="s">
        <v>35</v>
      </c>
      <c r="E35" s="6" t="s">
        <v>12</v>
      </c>
      <c r="F35" s="7" t="s">
        <v>62</v>
      </c>
      <c r="G35" s="8">
        <v>1</v>
      </c>
      <c r="H35" s="9" t="s">
        <v>14</v>
      </c>
      <c r="I35" t="str">
        <f>IF(H35="Track 1",IFERROR(_xlfn.XLOOKUP("*"&amp;LEFT(C35,FIND(" ",C35&amp;" ")-1)&amp;"*",'[1]Track 1'!$C$1:$C$99,'[1]Track 1'!$A$1:$A$99,,2),IFERROR(_xlfn.XLOOKUP("*"&amp;LEFT(C35,FIND(" ",C35&amp;" ")-1)&amp;"*",'[1]Track 1'!$H$1:$H$99,'[1]Track 1'!$E$1:$E$99,,2),"")),"")</f>
        <v>11.56-12.04</v>
      </c>
      <c r="J35" t="s">
        <v>622</v>
      </c>
    </row>
    <row r="36" spans="1:10" ht="14.25" customHeight="1" x14ac:dyDescent="0.35">
      <c r="A36">
        <v>35</v>
      </c>
      <c r="B36">
        <v>1135</v>
      </c>
      <c r="C36" s="6" t="s">
        <v>72</v>
      </c>
      <c r="D36" t="s">
        <v>73</v>
      </c>
      <c r="E36" s="6" t="s">
        <v>25</v>
      </c>
      <c r="F36" s="7" t="s">
        <v>62</v>
      </c>
      <c r="G36" s="8">
        <v>1</v>
      </c>
      <c r="H36" s="9" t="s">
        <v>14</v>
      </c>
      <c r="I36" t="str">
        <f>IF(H36="Track 1",IFERROR(_xlfn.XLOOKUP("*"&amp;LEFT(C36,FIND(" ",C36&amp;" ")-1)&amp;"*",'[1]Track 1'!$C$1:$C$99,'[1]Track 1'!$A$1:$A$99,,2),IFERROR(_xlfn.XLOOKUP("*"&amp;LEFT(C36,FIND(" ",C36&amp;" ")-1)&amp;"*",'[1]Track 1'!$H$1:$H$99,'[1]Track 1'!$E$1:$E$99,,2),"")),"")</f>
        <v/>
      </c>
      <c r="J36" t="s">
        <v>134</v>
      </c>
    </row>
    <row r="37" spans="1:10" ht="14.25" customHeight="1" x14ac:dyDescent="0.35">
      <c r="A37">
        <v>36</v>
      </c>
      <c r="B37">
        <v>1136</v>
      </c>
      <c r="C37" s="6" t="s">
        <v>74</v>
      </c>
      <c r="D37" t="s">
        <v>75</v>
      </c>
      <c r="E37" s="6" t="s">
        <v>26</v>
      </c>
      <c r="F37" s="7" t="s">
        <v>62</v>
      </c>
      <c r="G37" s="8">
        <v>1</v>
      </c>
      <c r="H37" s="9" t="s">
        <v>14</v>
      </c>
      <c r="I37" t="str">
        <f>IF(H37="Track 1",IFERROR(_xlfn.XLOOKUP("*"&amp;LEFT(C37,FIND(" ",C37&amp;" ")-1)&amp;"*",'[1]Track 1'!$C$1:$C$99,'[1]Track 1'!$A$1:$A$99,,2),IFERROR(_xlfn.XLOOKUP("*"&amp;LEFT(C37,FIND(" ",C37&amp;" ")-1)&amp;"*",'[1]Track 1'!$H$1:$H$99,'[1]Track 1'!$E$1:$E$99,,2),"")),"")</f>
        <v>9.24-9.32</v>
      </c>
      <c r="J37" t="s">
        <v>631</v>
      </c>
    </row>
    <row r="38" spans="1:10" ht="14.25" customHeight="1" x14ac:dyDescent="0.35">
      <c r="A38">
        <v>37</v>
      </c>
      <c r="B38">
        <v>1237</v>
      </c>
      <c r="C38" s="6" t="s">
        <v>76</v>
      </c>
      <c r="D38" t="s">
        <v>77</v>
      </c>
      <c r="E38" s="6" t="s">
        <v>12</v>
      </c>
      <c r="F38" s="7" t="s">
        <v>78</v>
      </c>
      <c r="G38" s="22">
        <v>2</v>
      </c>
      <c r="H38" s="9" t="s">
        <v>14</v>
      </c>
      <c r="I38" t="str">
        <f>IF(H38="Track 1",IFERROR(_xlfn.XLOOKUP("*"&amp;LEFT(C38,FIND(" ",C38&amp;" ")-1)&amp;"*",'[1]Track 1'!$C$1:$C$99,'[1]Track 1'!$A$1:$A$99,,2),IFERROR(_xlfn.XLOOKUP("*"&amp;LEFT(C38,FIND(" ",C38&amp;" ")-1)&amp;"*",'[1]Track 1'!$H$1:$H$99,'[1]Track 1'!$E$1:$E$99,,2),"")),"")</f>
        <v>9.00-9.08</v>
      </c>
      <c r="J38" t="s">
        <v>632</v>
      </c>
    </row>
    <row r="39" spans="1:10" ht="14.25" customHeight="1" x14ac:dyDescent="0.35">
      <c r="A39">
        <v>38</v>
      </c>
      <c r="B39">
        <v>1238</v>
      </c>
      <c r="C39" s="6" t="s">
        <v>79</v>
      </c>
      <c r="D39" t="s">
        <v>24</v>
      </c>
      <c r="E39" s="6" t="s">
        <v>12</v>
      </c>
      <c r="F39" s="7" t="s">
        <v>78</v>
      </c>
      <c r="G39" s="22">
        <v>2</v>
      </c>
      <c r="H39" s="9" t="s">
        <v>14</v>
      </c>
      <c r="I39" t="str">
        <f>IF(H39="Track 1",IFERROR(_xlfn.XLOOKUP("*"&amp;LEFT(C39,FIND(" ",C39&amp;" ")-1)&amp;"*",'[1]Track 1'!$C$1:$C$99,'[1]Track 1'!$A$1:$A$99,,2),IFERROR(_xlfn.XLOOKUP("*"&amp;LEFT(C39,FIND(" ",C39&amp;" ")-1)&amp;"*",'[1]Track 1'!$H$1:$H$99,'[1]Track 1'!$E$1:$E$99,,2),"")),"")</f>
        <v>9.08-9.16</v>
      </c>
      <c r="J39" t="s">
        <v>633</v>
      </c>
    </row>
    <row r="40" spans="1:10" ht="14.25" customHeight="1" x14ac:dyDescent="0.35">
      <c r="A40">
        <v>39</v>
      </c>
      <c r="B40">
        <v>1239</v>
      </c>
      <c r="C40" t="s">
        <v>80</v>
      </c>
      <c r="D40" t="s">
        <v>18</v>
      </c>
      <c r="E40" s="6" t="s">
        <v>12</v>
      </c>
      <c r="F40" s="7" t="s">
        <v>78</v>
      </c>
      <c r="G40" s="22">
        <v>2</v>
      </c>
      <c r="H40" s="9" t="s">
        <v>14</v>
      </c>
      <c r="I40" t="str">
        <f>IF(H40="Track 1",IFERROR(_xlfn.XLOOKUP("*"&amp;LEFT(C40,FIND(" ",C40&amp;" ")-1)&amp;"*",'[1]Track 1'!$C$1:$C$99,'[1]Track 1'!$A$1:$A$99,,2),IFERROR(_xlfn.XLOOKUP("*"&amp;LEFT(C40,FIND(" ",C40&amp;" ")-1)&amp;"*",'[1]Track 1'!$H$1:$H$99,'[1]Track 1'!$E$1:$E$99,,2),"")),"")</f>
        <v>9.16-9.24</v>
      </c>
      <c r="J40" t="s">
        <v>634</v>
      </c>
    </row>
    <row r="41" spans="1:10" ht="14.25" customHeight="1" x14ac:dyDescent="0.35">
      <c r="A41">
        <v>40</v>
      </c>
      <c r="B41">
        <v>1240</v>
      </c>
      <c r="C41" t="s">
        <v>81</v>
      </c>
      <c r="D41" t="s">
        <v>31</v>
      </c>
      <c r="E41" s="6" t="s">
        <v>12</v>
      </c>
      <c r="F41" s="7" t="s">
        <v>78</v>
      </c>
      <c r="G41" s="22">
        <v>2</v>
      </c>
      <c r="H41" s="9" t="s">
        <v>14</v>
      </c>
      <c r="I41" t="str">
        <f>IF(H41="Track 1",IFERROR(_xlfn.XLOOKUP("*"&amp;LEFT(C41,FIND(" ",C41&amp;" ")-1)&amp;"*",'[1]Track 1'!$C$1:$C$99,'[1]Track 1'!$A$1:$A$99,,2),IFERROR(_xlfn.XLOOKUP("*"&amp;LEFT(C41,FIND(" ",C41&amp;" ")-1)&amp;"*",'[1]Track 1'!$H$1:$H$99,'[1]Track 1'!$E$1:$E$99,,2),"")),"")</f>
        <v>9.24-9.32</v>
      </c>
      <c r="J41" t="s">
        <v>631</v>
      </c>
    </row>
    <row r="42" spans="1:10" ht="14.25" customHeight="1" x14ac:dyDescent="0.35">
      <c r="A42">
        <v>41</v>
      </c>
      <c r="B42">
        <v>1241</v>
      </c>
      <c r="C42" t="s">
        <v>82</v>
      </c>
      <c r="D42" t="s">
        <v>61</v>
      </c>
      <c r="E42" s="6" t="s">
        <v>12</v>
      </c>
      <c r="F42" s="7" t="s">
        <v>78</v>
      </c>
      <c r="G42" s="22">
        <v>2</v>
      </c>
      <c r="H42" s="9" t="s">
        <v>14</v>
      </c>
      <c r="I42" t="str">
        <f>IF(H42="Track 1",IFERROR(_xlfn.XLOOKUP("*"&amp;LEFT(C42,FIND(" ",C42&amp;" ")-1)&amp;"*",'[1]Track 1'!$C$1:$C$99,'[1]Track 1'!$A$1:$A$99,,2),IFERROR(_xlfn.XLOOKUP("*"&amp;LEFT(C42,FIND(" ",C42&amp;" ")-1)&amp;"*",'[1]Track 1'!$H$1:$H$99,'[1]Track 1'!$E$1:$E$99,,2),"")),"")</f>
        <v>9.32-9.40</v>
      </c>
      <c r="J42" t="s">
        <v>635</v>
      </c>
    </row>
    <row r="43" spans="1:10" ht="14.25" customHeight="1" x14ac:dyDescent="0.35">
      <c r="A43">
        <v>42</v>
      </c>
      <c r="B43">
        <v>1242</v>
      </c>
      <c r="C43" t="s">
        <v>83</v>
      </c>
      <c r="D43" t="s">
        <v>84</v>
      </c>
      <c r="E43" s="6" t="s">
        <v>25</v>
      </c>
      <c r="F43" s="7" t="s">
        <v>78</v>
      </c>
      <c r="G43" s="22">
        <v>2</v>
      </c>
      <c r="H43" s="9" t="s">
        <v>14</v>
      </c>
      <c r="I43" t="str">
        <f>IF(H43="Track 1",IFERROR(_xlfn.XLOOKUP("*"&amp;LEFT(C43,FIND(" ",C43&amp;" ")-1)&amp;"*",'[1]Track 1'!$C$1:$C$99,'[1]Track 1'!$A$1:$A$99,,2),IFERROR(_xlfn.XLOOKUP("*"&amp;LEFT(C43,FIND(" ",C43&amp;" ")-1)&amp;"*",'[1]Track 1'!$H$1:$H$99,'[1]Track 1'!$E$1:$E$99,,2),"")),"")</f>
        <v>11.40-11.48</v>
      </c>
      <c r="J43" t="s">
        <v>636</v>
      </c>
    </row>
    <row r="44" spans="1:10" ht="14.25" customHeight="1" x14ac:dyDescent="0.35">
      <c r="A44">
        <v>43</v>
      </c>
      <c r="B44">
        <v>1243</v>
      </c>
      <c r="C44" t="s">
        <v>85</v>
      </c>
      <c r="D44" t="s">
        <v>24</v>
      </c>
      <c r="E44" s="6" t="s">
        <v>86</v>
      </c>
      <c r="F44" s="7" t="s">
        <v>78</v>
      </c>
      <c r="G44" s="22">
        <v>2</v>
      </c>
      <c r="H44" s="9" t="s">
        <v>14</v>
      </c>
      <c r="I44" t="str">
        <f>IF(H44="Track 1",IFERROR(_xlfn.XLOOKUP("*"&amp;LEFT(C44,FIND(" ",C44&amp;" ")-1)&amp;"*",'[1]Track 1'!$C$1:$C$99,'[1]Track 1'!$A$1:$A$99,,2),IFERROR(_xlfn.XLOOKUP("*"&amp;LEFT(C44,FIND(" ",C44&amp;" ")-1)&amp;"*",'[1]Track 1'!$H$1:$H$99,'[1]Track 1'!$E$1:$E$99,,2),"")),"")</f>
        <v/>
      </c>
      <c r="J44" t="s">
        <v>134</v>
      </c>
    </row>
    <row r="45" spans="1:10" ht="14.25" customHeight="1" x14ac:dyDescent="0.35">
      <c r="A45">
        <v>44</v>
      </c>
      <c r="B45">
        <v>1244</v>
      </c>
      <c r="C45" t="s">
        <v>79</v>
      </c>
      <c r="D45" t="s">
        <v>24</v>
      </c>
      <c r="E45" s="6" t="s">
        <v>26</v>
      </c>
      <c r="F45" s="7" t="s">
        <v>78</v>
      </c>
      <c r="G45" s="22">
        <v>2</v>
      </c>
      <c r="H45" s="9" t="s">
        <v>14</v>
      </c>
      <c r="I45" t="str">
        <f>IF(H45="Track 1",IFERROR(_xlfn.XLOOKUP("*"&amp;LEFT(C45,FIND(" ",C45&amp;" ")-1)&amp;"*",'[1]Track 1'!$C$1:$C$99,'[1]Track 1'!$A$1:$A$99,,2),IFERROR(_xlfn.XLOOKUP("*"&amp;LEFT(C45,FIND(" ",C45&amp;" ")-1)&amp;"*",'[1]Track 1'!$H$1:$H$99,'[1]Track 1'!$E$1:$E$99,,2),"")),"")</f>
        <v>9.08-9.16</v>
      </c>
      <c r="J45" t="s">
        <v>633</v>
      </c>
    </row>
    <row r="46" spans="1:10" ht="14.25" customHeight="1" x14ac:dyDescent="0.35">
      <c r="A46">
        <v>45</v>
      </c>
      <c r="B46">
        <v>1245</v>
      </c>
      <c r="C46" t="s">
        <v>87</v>
      </c>
      <c r="D46" t="s">
        <v>31</v>
      </c>
      <c r="E46" s="6" t="s">
        <v>12</v>
      </c>
      <c r="F46" s="23" t="s">
        <v>88</v>
      </c>
      <c r="G46" s="24">
        <v>2</v>
      </c>
      <c r="H46" s="9" t="s">
        <v>14</v>
      </c>
      <c r="I46" t="str">
        <f>IF(H46="Track 1",IFERROR(_xlfn.XLOOKUP("*"&amp;LEFT(C46,FIND(" ",C46&amp;" ")-1)&amp;"*",'[1]Track 1'!$C$1:$C$99,'[1]Track 1'!$A$1:$A$99,,2),IFERROR(_xlfn.XLOOKUP("*"&amp;LEFT(C46,FIND(" ",C46&amp;" ")-1)&amp;"*",'[1]Track 1'!$H$1:$H$99,'[1]Track 1'!$E$1:$E$99,,2),"")),"")</f>
        <v>11.30-11.50</v>
      </c>
      <c r="J46" t="s">
        <v>637</v>
      </c>
    </row>
    <row r="47" spans="1:10" ht="14.25" customHeight="1" x14ac:dyDescent="0.35">
      <c r="A47">
        <v>46</v>
      </c>
      <c r="B47">
        <v>1246</v>
      </c>
      <c r="C47" t="s">
        <v>89</v>
      </c>
      <c r="D47" t="s">
        <v>18</v>
      </c>
      <c r="E47" s="6" t="s">
        <v>25</v>
      </c>
      <c r="F47" s="23" t="s">
        <v>88</v>
      </c>
      <c r="G47" s="24">
        <v>2</v>
      </c>
      <c r="H47" s="9" t="s">
        <v>14</v>
      </c>
      <c r="I47" t="str">
        <f>IF(H47="Track 1",IFERROR(_xlfn.XLOOKUP("*"&amp;LEFT(C47,FIND(" ",C47&amp;" ")-1)&amp;"*",'[1]Track 1'!$C$1:$C$99,'[1]Track 1'!$A$1:$A$99,,2),IFERROR(_xlfn.XLOOKUP("*"&amp;LEFT(C47,FIND(" ",C47&amp;" ")-1)&amp;"*",'[1]Track 1'!$H$1:$H$99,'[1]Track 1'!$E$1:$E$99,,2),"")),"")</f>
        <v>11.50-12.30</v>
      </c>
      <c r="J47" t="s">
        <v>621</v>
      </c>
    </row>
    <row r="48" spans="1:10" ht="14.25" customHeight="1" x14ac:dyDescent="0.35">
      <c r="A48">
        <v>47</v>
      </c>
      <c r="B48">
        <v>1247</v>
      </c>
      <c r="C48" t="s">
        <v>90</v>
      </c>
      <c r="D48" t="s">
        <v>31</v>
      </c>
      <c r="E48" s="6" t="s">
        <v>86</v>
      </c>
      <c r="F48" s="23" t="s">
        <v>88</v>
      </c>
      <c r="G48" s="24">
        <v>2</v>
      </c>
      <c r="H48" s="9" t="s">
        <v>14</v>
      </c>
      <c r="I48" t="str">
        <f>IF(H48="Track 1",IFERROR(_xlfn.XLOOKUP("*"&amp;LEFT(C48,FIND(" ",C48&amp;" ")-1)&amp;"*",'[1]Track 1'!$C$1:$C$99,'[1]Track 1'!$A$1:$A$99,,2),IFERROR(_xlfn.XLOOKUP("*"&amp;LEFT(C48,FIND(" ",C48&amp;" ")-1)&amp;"*",'[1]Track 1'!$H$1:$H$99,'[1]Track 1'!$E$1:$E$99,,2),"")),"")</f>
        <v>11.50-12.30</v>
      </c>
      <c r="J48" t="s">
        <v>621</v>
      </c>
    </row>
    <row r="49" spans="1:10" ht="14.25" customHeight="1" x14ac:dyDescent="0.35">
      <c r="A49">
        <v>48</v>
      </c>
      <c r="B49">
        <v>1248</v>
      </c>
      <c r="C49" t="s">
        <v>91</v>
      </c>
      <c r="D49" t="s">
        <v>18</v>
      </c>
      <c r="E49" s="6" t="s">
        <v>26</v>
      </c>
      <c r="F49" s="23" t="s">
        <v>88</v>
      </c>
      <c r="G49" s="24">
        <v>2</v>
      </c>
      <c r="H49" s="9" t="s">
        <v>14</v>
      </c>
      <c r="I49" t="str">
        <f>IF(H49="Track 1",IFERROR(_xlfn.XLOOKUP("*"&amp;LEFT(C49,FIND(" ",C49&amp;" ")-1)&amp;"*",'[1]Track 1'!$C$1:$C$99,'[1]Track 1'!$A$1:$A$99,,2),IFERROR(_xlfn.XLOOKUP("*"&amp;LEFT(C49,FIND(" ",C49&amp;" ")-1)&amp;"*",'[1]Track 1'!$H$1:$H$99,'[1]Track 1'!$E$1:$E$99,,2),"")),"")</f>
        <v/>
      </c>
      <c r="J49" t="s">
        <v>134</v>
      </c>
    </row>
    <row r="50" spans="1:10" ht="14.25" customHeight="1" x14ac:dyDescent="0.35">
      <c r="A50">
        <v>49</v>
      </c>
      <c r="B50">
        <v>1249</v>
      </c>
      <c r="C50" t="s">
        <v>90</v>
      </c>
      <c r="D50" t="s">
        <v>31</v>
      </c>
      <c r="E50" s="6" t="s">
        <v>92</v>
      </c>
      <c r="F50" s="23" t="s">
        <v>88</v>
      </c>
      <c r="G50" s="24">
        <v>2</v>
      </c>
      <c r="H50" s="9" t="s">
        <v>14</v>
      </c>
      <c r="I50" t="str">
        <f>IF(H50="Track 1",IFERROR(_xlfn.XLOOKUP("*"&amp;LEFT(C50,FIND(" ",C50&amp;" ")-1)&amp;"*",'[1]Track 1'!$C$1:$C$99,'[1]Track 1'!$A$1:$A$99,,2),IFERROR(_xlfn.XLOOKUP("*"&amp;LEFT(C50,FIND(" ",C50&amp;" ")-1)&amp;"*",'[1]Track 1'!$H$1:$H$99,'[1]Track 1'!$E$1:$E$99,,2),"")),"")</f>
        <v>11.50-12.30</v>
      </c>
      <c r="J50" t="s">
        <v>621</v>
      </c>
    </row>
    <row r="51" spans="1:10" ht="14.25" customHeight="1" x14ac:dyDescent="0.35">
      <c r="A51">
        <v>50</v>
      </c>
      <c r="B51">
        <v>1250</v>
      </c>
      <c r="C51" t="s">
        <v>89</v>
      </c>
      <c r="D51" t="s">
        <v>18</v>
      </c>
      <c r="E51" s="6" t="s">
        <v>92</v>
      </c>
      <c r="F51" s="23" t="s">
        <v>88</v>
      </c>
      <c r="G51" s="24">
        <v>2</v>
      </c>
      <c r="H51" s="9" t="s">
        <v>14</v>
      </c>
      <c r="I51" t="str">
        <f>IF(H51="Track 1",IFERROR(_xlfn.XLOOKUP("*"&amp;LEFT(C51,FIND(" ",C51&amp;" ")-1)&amp;"*",'[1]Track 1'!$C$1:$C$99,'[1]Track 1'!$A$1:$A$99,,2),IFERROR(_xlfn.XLOOKUP("*"&amp;LEFT(C51,FIND(" ",C51&amp;" ")-1)&amp;"*",'[1]Track 1'!$H$1:$H$99,'[1]Track 1'!$E$1:$E$99,,2),"")),"")</f>
        <v>11.50-12.30</v>
      </c>
      <c r="J51" t="s">
        <v>621</v>
      </c>
    </row>
    <row r="52" spans="1:10" ht="14.25" customHeight="1" x14ac:dyDescent="0.35">
      <c r="A52">
        <v>51</v>
      </c>
      <c r="B52">
        <v>1251</v>
      </c>
      <c r="C52" t="s">
        <v>38</v>
      </c>
      <c r="D52" t="s">
        <v>39</v>
      </c>
      <c r="E52" s="6" t="s">
        <v>92</v>
      </c>
      <c r="F52" s="23" t="s">
        <v>88</v>
      </c>
      <c r="G52" s="24">
        <v>2</v>
      </c>
      <c r="H52" s="9" t="s">
        <v>14</v>
      </c>
      <c r="I52" t="str">
        <f>IF(H52="Track 1",IFERROR(_xlfn.XLOOKUP("*"&amp;LEFT(C52,FIND(" ",C52&amp;" ")-1)&amp;"*",'[1]Track 1'!$C$1:$C$99,'[1]Track 1'!$A$1:$A$99,,2),IFERROR(_xlfn.XLOOKUP("*"&amp;LEFT(C52,FIND(" ",C52&amp;" ")-1)&amp;"*",'[1]Track 1'!$H$1:$H$99,'[1]Track 1'!$E$1:$E$99,,2),"")),"")</f>
        <v>10.45-10.55</v>
      </c>
      <c r="J52" t="s">
        <v>615</v>
      </c>
    </row>
    <row r="53" spans="1:10" ht="14.25" customHeight="1" x14ac:dyDescent="0.35">
      <c r="A53">
        <v>52</v>
      </c>
      <c r="B53">
        <v>1252</v>
      </c>
      <c r="C53" t="s">
        <v>93</v>
      </c>
      <c r="D53" t="s">
        <v>94</v>
      </c>
      <c r="E53" s="6" t="s">
        <v>92</v>
      </c>
      <c r="F53" s="23" t="s">
        <v>88</v>
      </c>
      <c r="G53" s="24">
        <v>2</v>
      </c>
      <c r="H53" s="9" t="s">
        <v>14</v>
      </c>
      <c r="I53" t="str">
        <f>IF(H53="Track 1",IFERROR(_xlfn.XLOOKUP("*"&amp;LEFT(C53,FIND(" ",C53&amp;" ")-1)&amp;"*",'[1]Track 1'!$C$1:$C$99,'[1]Track 1'!$A$1:$A$99,,2),IFERROR(_xlfn.XLOOKUP("*"&amp;LEFT(C53,FIND(" ",C53&amp;" ")-1)&amp;"*",'[1]Track 1'!$H$1:$H$99,'[1]Track 1'!$E$1:$E$99,,2),"")),"")</f>
        <v>11.50-12.30</v>
      </c>
      <c r="J53" t="s">
        <v>621</v>
      </c>
    </row>
    <row r="54" spans="1:10" ht="14.25" customHeight="1" x14ac:dyDescent="0.35">
      <c r="A54">
        <v>53</v>
      </c>
      <c r="B54">
        <v>1253</v>
      </c>
      <c r="C54" t="s">
        <v>50</v>
      </c>
      <c r="D54" t="s">
        <v>51</v>
      </c>
      <c r="E54" s="6" t="s">
        <v>92</v>
      </c>
      <c r="F54" s="23" t="s">
        <v>88</v>
      </c>
      <c r="G54" s="24">
        <v>2</v>
      </c>
      <c r="H54" s="9" t="s">
        <v>14</v>
      </c>
      <c r="I54" t="str">
        <f>IF(H54="Track 1",IFERROR(_xlfn.XLOOKUP("*"&amp;LEFT(C54,FIND(" ",C54&amp;" ")-1)&amp;"*",'[1]Track 1'!$C$1:$C$99,'[1]Track 1'!$A$1:$A$99,,2),IFERROR(_xlfn.XLOOKUP("*"&amp;LEFT(C54,FIND(" ",C54&amp;" ")-1)&amp;"*",'[1]Track 1'!$H$1:$H$99,'[1]Track 1'!$E$1:$E$99,,2),"")),"")</f>
        <v>11.50-12.30</v>
      </c>
      <c r="J54" t="s">
        <v>621</v>
      </c>
    </row>
    <row r="55" spans="1:10" ht="14.25" customHeight="1" x14ac:dyDescent="0.35">
      <c r="A55">
        <v>54</v>
      </c>
      <c r="B55">
        <v>1254</v>
      </c>
      <c r="C55" t="s">
        <v>95</v>
      </c>
      <c r="D55" t="s">
        <v>33</v>
      </c>
      <c r="E55" s="6" t="s">
        <v>12</v>
      </c>
      <c r="F55" s="7" t="s">
        <v>96</v>
      </c>
      <c r="G55" s="24">
        <v>2</v>
      </c>
      <c r="H55" s="9" t="s">
        <v>14</v>
      </c>
      <c r="I55" t="str">
        <f>IF(H55="Track 1",IFERROR(_xlfn.XLOOKUP("*"&amp;LEFT(C55,FIND(" ",C55&amp;" ")-1)&amp;"*",'[1]Track 1'!$C$1:$C$99,'[1]Track 1'!$A$1:$A$99,,2),IFERROR(_xlfn.XLOOKUP("*"&amp;LEFT(C55,FIND(" ",C55&amp;" ")-1)&amp;"*",'[1]Track 1'!$H$1:$H$99,'[1]Track 1'!$E$1:$E$99,,2),"")),"")</f>
        <v>10.15-10.35</v>
      </c>
      <c r="J55" t="s">
        <v>638</v>
      </c>
    </row>
    <row r="56" spans="1:10" ht="14.25" customHeight="1" x14ac:dyDescent="0.35">
      <c r="A56">
        <v>55</v>
      </c>
      <c r="B56">
        <v>1255</v>
      </c>
      <c r="C56" t="s">
        <v>97</v>
      </c>
      <c r="D56" t="s">
        <v>22</v>
      </c>
      <c r="E56" s="6" t="s">
        <v>12</v>
      </c>
      <c r="F56" s="7" t="s">
        <v>96</v>
      </c>
      <c r="G56" s="24">
        <v>2</v>
      </c>
      <c r="H56" s="9" t="s">
        <v>14</v>
      </c>
      <c r="I56" t="str">
        <f>IF(H56="Track 1",IFERROR(_xlfn.XLOOKUP("*"&amp;LEFT(C56,FIND(" ",C56&amp;" ")-1)&amp;"*",'[1]Track 1'!$C$1:$C$99,'[1]Track 1'!$A$1:$A$99,,2),IFERROR(_xlfn.XLOOKUP("*"&amp;LEFT(C56,FIND(" ",C56&amp;" ")-1)&amp;"*",'[1]Track 1'!$H$1:$H$99,'[1]Track 1'!$E$1:$E$99,,2),"")),"")</f>
        <v>10.35-10.45</v>
      </c>
      <c r="J56" t="s">
        <v>639</v>
      </c>
    </row>
    <row r="57" spans="1:10" ht="14.25" customHeight="1" x14ac:dyDescent="0.35">
      <c r="A57">
        <v>56</v>
      </c>
      <c r="B57">
        <v>1256</v>
      </c>
      <c r="C57" t="s">
        <v>38</v>
      </c>
      <c r="D57" t="s">
        <v>39</v>
      </c>
      <c r="E57" s="6" t="s">
        <v>12</v>
      </c>
      <c r="F57" s="7" t="s">
        <v>96</v>
      </c>
      <c r="G57" s="24">
        <v>2</v>
      </c>
      <c r="H57" s="9" t="s">
        <v>14</v>
      </c>
      <c r="I57" t="str">
        <f>IF(H57="Track 1",IFERROR(_xlfn.XLOOKUP("*"&amp;LEFT(C57,FIND(" ",C57&amp;" ")-1)&amp;"*",'[1]Track 1'!$C$1:$C$99,'[1]Track 1'!$A$1:$A$99,,2),IFERROR(_xlfn.XLOOKUP("*"&amp;LEFT(C57,FIND(" ",C57&amp;" ")-1)&amp;"*",'[1]Track 1'!$H$1:$H$99,'[1]Track 1'!$E$1:$E$99,,2),"")),"")</f>
        <v>10.45-10.55</v>
      </c>
      <c r="J57" t="s">
        <v>615</v>
      </c>
    </row>
    <row r="58" spans="1:10" ht="14.25" customHeight="1" x14ac:dyDescent="0.35">
      <c r="A58">
        <v>57</v>
      </c>
      <c r="B58">
        <v>1257</v>
      </c>
      <c r="C58" t="s">
        <v>98</v>
      </c>
      <c r="D58" t="s">
        <v>18</v>
      </c>
      <c r="E58" s="6" t="s">
        <v>12</v>
      </c>
      <c r="F58" s="7" t="s">
        <v>96</v>
      </c>
      <c r="G58" s="24">
        <v>2</v>
      </c>
      <c r="H58" s="9" t="s">
        <v>14</v>
      </c>
      <c r="I58" t="str">
        <f>IF(H58="Track 1",IFERROR(_xlfn.XLOOKUP("*"&amp;LEFT(C58,FIND(" ",C58&amp;" ")-1)&amp;"*",'[1]Track 1'!$C$1:$C$99,'[1]Track 1'!$A$1:$A$99,,2),IFERROR(_xlfn.XLOOKUP("*"&amp;LEFT(C58,FIND(" ",C58&amp;" ")-1)&amp;"*",'[1]Track 1'!$H$1:$H$99,'[1]Track 1'!$E$1:$E$99,,2),"")),"")</f>
        <v>10.55-11.05</v>
      </c>
      <c r="J58" t="s">
        <v>640</v>
      </c>
    </row>
    <row r="59" spans="1:10" ht="14.25" customHeight="1" x14ac:dyDescent="0.35">
      <c r="A59">
        <v>58</v>
      </c>
      <c r="B59">
        <v>1258</v>
      </c>
      <c r="C59" t="s">
        <v>98</v>
      </c>
      <c r="D59" t="s">
        <v>18</v>
      </c>
      <c r="E59" s="6" t="s">
        <v>25</v>
      </c>
      <c r="F59" s="7" t="s">
        <v>96</v>
      </c>
      <c r="G59" s="24">
        <v>2</v>
      </c>
      <c r="H59" s="9" t="s">
        <v>14</v>
      </c>
      <c r="I59" t="str">
        <f>IF(H59="Track 1",IFERROR(_xlfn.XLOOKUP("*"&amp;LEFT(C59,FIND(" ",C59&amp;" ")-1)&amp;"*",'[1]Track 1'!$C$1:$C$99,'[1]Track 1'!$A$1:$A$99,,2),IFERROR(_xlfn.XLOOKUP("*"&amp;LEFT(C59,FIND(" ",C59&amp;" ")-1)&amp;"*",'[1]Track 1'!$H$1:$H$99,'[1]Track 1'!$E$1:$E$99,,2),"")),"")</f>
        <v>10.55-11.05</v>
      </c>
      <c r="J59" t="s">
        <v>640</v>
      </c>
    </row>
    <row r="60" spans="1:10" ht="14.25" customHeight="1" x14ac:dyDescent="0.35">
      <c r="A60">
        <v>59</v>
      </c>
      <c r="B60">
        <v>1259</v>
      </c>
      <c r="C60" t="s">
        <v>95</v>
      </c>
      <c r="D60" t="s">
        <v>33</v>
      </c>
      <c r="E60" s="6" t="s">
        <v>26</v>
      </c>
      <c r="F60" s="7" t="s">
        <v>96</v>
      </c>
      <c r="G60" s="24">
        <v>2</v>
      </c>
      <c r="H60" s="9" t="s">
        <v>14</v>
      </c>
      <c r="I60" t="str">
        <f>IF(H60="Track 1",IFERROR(_xlfn.XLOOKUP("*"&amp;LEFT(C60,FIND(" ",C60&amp;" ")-1)&amp;"*",'[1]Track 1'!$C$1:$C$99,'[1]Track 1'!$A$1:$A$99,,2),IFERROR(_xlfn.XLOOKUP("*"&amp;LEFT(C60,FIND(" ",C60&amp;" ")-1)&amp;"*",'[1]Track 1'!$H$1:$H$99,'[1]Track 1'!$E$1:$E$99,,2),"")),"")</f>
        <v>10.15-10.35</v>
      </c>
      <c r="J60" t="s">
        <v>638</v>
      </c>
    </row>
    <row r="61" spans="1:10" ht="14.25" customHeight="1" x14ac:dyDescent="0.35">
      <c r="A61">
        <v>60</v>
      </c>
      <c r="B61">
        <v>1260</v>
      </c>
      <c r="C61" t="s">
        <v>99</v>
      </c>
      <c r="D61" t="s">
        <v>28</v>
      </c>
      <c r="E61" s="6" t="s">
        <v>12</v>
      </c>
      <c r="F61" s="7" t="s">
        <v>100</v>
      </c>
      <c r="G61" s="22">
        <v>2</v>
      </c>
      <c r="H61" s="9" t="s">
        <v>14</v>
      </c>
      <c r="I61" t="str">
        <f>IF(H61="Track 1",IFERROR(_xlfn.XLOOKUP("*"&amp;LEFT(C61,FIND(" ",C61&amp;" ")-1)&amp;"*",'[1]Track 1'!$C$1:$C$99,'[1]Track 1'!$A$1:$A$99,,2),IFERROR(_xlfn.XLOOKUP("*"&amp;LEFT(C61,FIND(" ",C61&amp;" ")-1)&amp;"*",'[1]Track 1'!$H$1:$H$99,'[1]Track 1'!$E$1:$E$99,,2),"")),"")</f>
        <v>12.40-12.48</v>
      </c>
      <c r="J61" s="25" t="s">
        <v>641</v>
      </c>
    </row>
    <row r="62" spans="1:10" ht="14.25" customHeight="1" x14ac:dyDescent="0.35">
      <c r="A62">
        <v>61</v>
      </c>
      <c r="B62">
        <v>1261</v>
      </c>
      <c r="C62" t="s">
        <v>101</v>
      </c>
      <c r="D62" t="s">
        <v>39</v>
      </c>
      <c r="E62" s="6" t="s">
        <v>12</v>
      </c>
      <c r="F62" s="7" t="s">
        <v>100</v>
      </c>
      <c r="G62" s="22">
        <v>2</v>
      </c>
      <c r="H62" s="9" t="s">
        <v>14</v>
      </c>
      <c r="I62" t="str">
        <f>IF(H62="Track 1",IFERROR(_xlfn.XLOOKUP("*"&amp;LEFT(C62,FIND(" ",C62&amp;" ")-1)&amp;"*",'[1]Track 1'!$C$1:$C$99,'[1]Track 1'!$A$1:$A$99,,2),IFERROR(_xlfn.XLOOKUP("*"&amp;LEFT(C62,FIND(" ",C62&amp;" ")-1)&amp;"*",'[1]Track 1'!$H$1:$H$99,'[1]Track 1'!$E$1:$E$99,,2),"")),"")</f>
        <v>12.48-12.56</v>
      </c>
      <c r="J62" t="s">
        <v>642</v>
      </c>
    </row>
    <row r="63" spans="1:10" ht="14.25" customHeight="1" x14ac:dyDescent="0.35">
      <c r="A63">
        <v>62</v>
      </c>
      <c r="B63">
        <v>1262</v>
      </c>
      <c r="C63" t="s">
        <v>36</v>
      </c>
      <c r="D63" t="s">
        <v>33</v>
      </c>
      <c r="E63" s="6" t="s">
        <v>12</v>
      </c>
      <c r="F63" s="7" t="s">
        <v>100</v>
      </c>
      <c r="G63" s="22">
        <v>2</v>
      </c>
      <c r="H63" s="9" t="s">
        <v>14</v>
      </c>
      <c r="I63" t="str">
        <f>IF(H63="Track 1",IFERROR(_xlfn.XLOOKUP("*"&amp;LEFT(C63,FIND(" ",C63&amp;" ")-1)&amp;"*",'[1]Track 1'!$C$1:$C$99,'[1]Track 1'!$A$1:$A$99,,2),IFERROR(_xlfn.XLOOKUP("*"&amp;LEFT(C63,FIND(" ",C63&amp;" ")-1)&amp;"*",'[1]Track 1'!$H$1:$H$99,'[1]Track 1'!$E$1:$E$99,,2),"")),"")</f>
        <v>10.59-11.07</v>
      </c>
      <c r="J63" t="s">
        <v>613</v>
      </c>
    </row>
    <row r="64" spans="1:10" ht="14.25" customHeight="1" x14ac:dyDescent="0.35">
      <c r="A64">
        <v>63</v>
      </c>
      <c r="B64">
        <v>1263</v>
      </c>
      <c r="C64" t="s">
        <v>102</v>
      </c>
      <c r="D64" t="s">
        <v>16</v>
      </c>
      <c r="E64" s="6" t="s">
        <v>12</v>
      </c>
      <c r="F64" s="7" t="s">
        <v>100</v>
      </c>
      <c r="G64" s="22">
        <v>2</v>
      </c>
      <c r="H64" s="9" t="s">
        <v>14</v>
      </c>
      <c r="I64" t="str">
        <f>IF(H64="Track 1",IFERROR(_xlfn.XLOOKUP("*"&amp;LEFT(C64,FIND(" ",C64&amp;" ")-1)&amp;"*",'[1]Track 1'!$C$1:$C$99,'[1]Track 1'!$A$1:$A$99,,2),IFERROR(_xlfn.XLOOKUP("*"&amp;LEFT(C64,FIND(" ",C64&amp;" ")-1)&amp;"*",'[1]Track 1'!$H$1:$H$99,'[1]Track 1'!$E$1:$E$99,,2),"")),"")</f>
        <v>13.04- 13.12</v>
      </c>
      <c r="J64" t="s">
        <v>643</v>
      </c>
    </row>
    <row r="65" spans="1:10" ht="14.25" customHeight="1" x14ac:dyDescent="0.35">
      <c r="A65">
        <v>64</v>
      </c>
      <c r="B65">
        <v>1264</v>
      </c>
      <c r="C65" t="s">
        <v>103</v>
      </c>
      <c r="D65" t="s">
        <v>16</v>
      </c>
      <c r="E65" s="6" t="s">
        <v>25</v>
      </c>
      <c r="F65" s="7" t="s">
        <v>100</v>
      </c>
      <c r="G65" s="22">
        <v>2</v>
      </c>
      <c r="H65" s="9" t="s">
        <v>14</v>
      </c>
      <c r="I65" t="str">
        <f>IF(H65="Track 1",IFERROR(_xlfn.XLOOKUP("*"&amp;LEFT(C65,FIND(" ",C65&amp;" ")-1)&amp;"*",'[1]Track 1'!$C$1:$C$99,'[1]Track 1'!$A$1:$A$99,,2),IFERROR(_xlfn.XLOOKUP("*"&amp;LEFT(C65,FIND(" ",C65&amp;" ")-1)&amp;"*",'[1]Track 1'!$H$1:$H$99,'[1]Track 1'!$E$1:$E$99,,2),"")),"")</f>
        <v/>
      </c>
      <c r="J65" t="s">
        <v>134</v>
      </c>
    </row>
    <row r="66" spans="1:10" ht="14.25" customHeight="1" x14ac:dyDescent="0.35">
      <c r="A66">
        <v>65</v>
      </c>
      <c r="B66">
        <v>1265</v>
      </c>
      <c r="C66" t="s">
        <v>72</v>
      </c>
      <c r="D66" t="s">
        <v>73</v>
      </c>
      <c r="E66" s="6" t="s">
        <v>26</v>
      </c>
      <c r="F66" s="7" t="s">
        <v>100</v>
      </c>
      <c r="G66" s="22">
        <v>2</v>
      </c>
      <c r="H66" s="9" t="s">
        <v>14</v>
      </c>
      <c r="I66" t="str">
        <f>IF(H66="Track 1",IFERROR(_xlfn.XLOOKUP("*"&amp;LEFT(C66,FIND(" ",C66&amp;" ")-1)&amp;"*",'[1]Track 1'!$C$1:$C$99,'[1]Track 1'!$A$1:$A$99,,2),IFERROR(_xlfn.XLOOKUP("*"&amp;LEFT(C66,FIND(" ",C66&amp;" ")-1)&amp;"*",'[1]Track 1'!$H$1:$H$99,'[1]Track 1'!$E$1:$E$99,,2),"")),"")</f>
        <v/>
      </c>
      <c r="J66" t="s">
        <v>134</v>
      </c>
    </row>
    <row r="67" spans="1:10" ht="14.25" customHeight="1" x14ac:dyDescent="0.35">
      <c r="A67">
        <v>66</v>
      </c>
      <c r="B67">
        <v>1266</v>
      </c>
      <c r="C67" t="s">
        <v>104</v>
      </c>
      <c r="D67" t="s">
        <v>105</v>
      </c>
      <c r="E67" s="6" t="s">
        <v>12</v>
      </c>
      <c r="F67" s="7" t="s">
        <v>100</v>
      </c>
      <c r="G67" s="22">
        <v>2</v>
      </c>
      <c r="H67" s="9" t="s">
        <v>14</v>
      </c>
      <c r="I67" t="str">
        <f>IF(H67="Track 1",IFERROR(_xlfn.XLOOKUP("*"&amp;LEFT(C67,FIND(" ",C67&amp;" ")-1)&amp;"*",'[1]Track 1'!$C$1:$C$99,'[1]Track 1'!$A$1:$A$99,,2),IFERROR(_xlfn.XLOOKUP("*"&amp;LEFT(C67,FIND(" ",C67&amp;" ")-1)&amp;"*",'[1]Track 1'!$H$1:$H$99,'[1]Track 1'!$E$1:$E$99,,2),"")),"")</f>
        <v>13.12-13.20</v>
      </c>
      <c r="J67" t="s">
        <v>644</v>
      </c>
    </row>
    <row r="68" spans="1:10" ht="14.25" customHeight="1" x14ac:dyDescent="0.35">
      <c r="A68">
        <v>67</v>
      </c>
      <c r="B68">
        <v>2167</v>
      </c>
      <c r="C68" t="s">
        <v>106</v>
      </c>
      <c r="D68" t="s">
        <v>107</v>
      </c>
      <c r="E68" s="6" t="s">
        <v>25</v>
      </c>
      <c r="F68" s="26" t="s">
        <v>108</v>
      </c>
      <c r="G68" s="13">
        <v>1</v>
      </c>
      <c r="H68" s="27" t="s">
        <v>109</v>
      </c>
      <c r="I68" t="str">
        <f>IF(H68="Track 2",IFERROR(_xlfn.XLOOKUP("*"&amp;LEFT(C68,FIND(" ",C68&amp;" ")-1)&amp;"*",'[1]Track 2'!$D$1:$D$99,'[1]Track 2'!$A$1:$A$99,,2),IFERROR(_xlfn.XLOOKUP("*"&amp;LEFT(C68,FIND(" ",C68&amp;" ")-1)&amp;"*",'[1]Track 2'!$I$1:$I$99,'[1]Track 2'!$F$1:$F$99,,2),"")),"")</f>
        <v/>
      </c>
      <c r="J68" t="s">
        <v>134</v>
      </c>
    </row>
    <row r="69" spans="1:10" ht="14.25" customHeight="1" x14ac:dyDescent="0.35">
      <c r="A69">
        <v>68</v>
      </c>
      <c r="B69">
        <v>2168</v>
      </c>
      <c r="C69" t="s">
        <v>93</v>
      </c>
      <c r="D69" t="s">
        <v>94</v>
      </c>
      <c r="E69" s="6" t="s">
        <v>86</v>
      </c>
      <c r="F69" s="26" t="s">
        <v>108</v>
      </c>
      <c r="G69" s="13">
        <v>1</v>
      </c>
      <c r="H69" s="27" t="s">
        <v>109</v>
      </c>
      <c r="I69" t="str">
        <f>IF(H69="Track 2",IFERROR(_xlfn.XLOOKUP("*"&amp;LEFT(C69,FIND(" ",C69&amp;" ")-1)&amp;"*",'[1]Track 2'!$D$1:$D$99,'[1]Track 2'!$A$1:$A$99,,2),IFERROR(_xlfn.XLOOKUP("*"&amp;LEFT(C69,FIND(" ",C69&amp;" ")-1)&amp;"*",'[1]Track 2'!$I$1:$I$99,'[1]Track 2'!$F$1:$F$99,,2),"")),"")</f>
        <v>11.30 – 11.42 hrs</v>
      </c>
      <c r="J69" t="s">
        <v>645</v>
      </c>
    </row>
    <row r="70" spans="1:10" ht="14.25" customHeight="1" x14ac:dyDescent="0.35">
      <c r="A70">
        <v>69</v>
      </c>
      <c r="B70">
        <v>2169</v>
      </c>
      <c r="C70" t="s">
        <v>110</v>
      </c>
      <c r="D70" t="s">
        <v>111</v>
      </c>
      <c r="E70" s="6" t="s">
        <v>26</v>
      </c>
      <c r="F70" s="26" t="s">
        <v>108</v>
      </c>
      <c r="G70" s="13">
        <v>1</v>
      </c>
      <c r="H70" s="27" t="s">
        <v>109</v>
      </c>
      <c r="I70" t="str">
        <f>IF(H70="Track 2",IFERROR(_xlfn.XLOOKUP("*"&amp;LEFT(C70,FIND(" ",C70&amp;" ")-1)&amp;"*",'[1]Track 2'!$D$1:$D$99,'[1]Track 2'!$A$1:$A$99,,2),IFERROR(_xlfn.XLOOKUP("*"&amp;LEFT(C70,FIND(" ",C70&amp;" ")-1)&amp;"*",'[1]Track 2'!$I$1:$I$99,'[1]Track 2'!$F$1:$F$99,,2),"")),"")</f>
        <v/>
      </c>
      <c r="J70" t="s">
        <v>134</v>
      </c>
    </row>
    <row r="71" spans="1:10" ht="14.25" customHeight="1" x14ac:dyDescent="0.35">
      <c r="A71">
        <v>70</v>
      </c>
      <c r="B71">
        <v>2170</v>
      </c>
      <c r="C71" t="s">
        <v>112</v>
      </c>
      <c r="D71" t="s">
        <v>113</v>
      </c>
      <c r="E71" s="6" t="s">
        <v>12</v>
      </c>
      <c r="F71" s="26" t="s">
        <v>108</v>
      </c>
      <c r="G71" s="13">
        <v>1</v>
      </c>
      <c r="H71" s="27" t="s">
        <v>109</v>
      </c>
      <c r="I71" t="str">
        <f>IF(H71="Track 2",IFERROR(_xlfn.XLOOKUP("*"&amp;LEFT(C71,FIND(" ",C71&amp;" ")-1)&amp;"*",'[1]Track 2'!$D$1:$D$99,'[1]Track 2'!$A$1:$A$99,,2),IFERROR(_xlfn.XLOOKUP("*"&amp;LEFT(C71,FIND(" ",C71&amp;" ")-1)&amp;"*",'[1]Track 2'!$I$1:$I$99,'[1]Track 2'!$F$1:$F$99,,2),"")),"")</f>
        <v>09.00 – 09.12 hrs</v>
      </c>
      <c r="J71" t="s">
        <v>646</v>
      </c>
    </row>
    <row r="72" spans="1:10" ht="14.25" customHeight="1" x14ac:dyDescent="0.35">
      <c r="A72">
        <v>71</v>
      </c>
      <c r="B72">
        <v>2171</v>
      </c>
      <c r="C72" t="s">
        <v>114</v>
      </c>
      <c r="D72" t="s">
        <v>115</v>
      </c>
      <c r="E72" s="6" t="s">
        <v>12</v>
      </c>
      <c r="F72" s="26" t="s">
        <v>108</v>
      </c>
      <c r="G72" s="13">
        <v>1</v>
      </c>
      <c r="H72" s="27" t="s">
        <v>109</v>
      </c>
      <c r="I72" t="str">
        <f>IF(H72="Track 2",IFERROR(_xlfn.XLOOKUP("*"&amp;LEFT(C72,FIND(" ",C72&amp;" ")-1)&amp;"*",'[1]Track 2'!$D$1:$D$99,'[1]Track 2'!$A$1:$A$99,,2),IFERROR(_xlfn.XLOOKUP("*"&amp;LEFT(C72,FIND(" ",C72&amp;" ")-1)&amp;"*",'[1]Track 2'!$I$1:$I$99,'[1]Track 2'!$F$1:$F$99,,2),"")),"")</f>
        <v>09.12 – 09.24 hrs</v>
      </c>
      <c r="J72" t="s">
        <v>647</v>
      </c>
    </row>
    <row r="73" spans="1:10" ht="14.25" customHeight="1" x14ac:dyDescent="0.35">
      <c r="A73">
        <v>72</v>
      </c>
      <c r="B73">
        <v>2172</v>
      </c>
      <c r="C73" t="s">
        <v>116</v>
      </c>
      <c r="D73" t="s">
        <v>33</v>
      </c>
      <c r="E73" s="6" t="s">
        <v>12</v>
      </c>
      <c r="F73" s="26" t="s">
        <v>108</v>
      </c>
      <c r="G73" s="13">
        <v>1</v>
      </c>
      <c r="H73" s="27" t="s">
        <v>109</v>
      </c>
      <c r="I73" t="str">
        <f>IF(H73="Track 2",IFERROR(_xlfn.XLOOKUP("*"&amp;LEFT(C73,FIND(" ",C73&amp;" ")-1)&amp;"*",'[1]Track 2'!$D$1:$D$99,'[1]Track 2'!$A$1:$A$99,,2),IFERROR(_xlfn.XLOOKUP("*"&amp;LEFT(C73,FIND(" ",C73&amp;" ")-1)&amp;"*",'[1]Track 2'!$I$1:$I$99,'[1]Track 2'!$F$1:$F$99,,2),"")),"")</f>
        <v>09.24 – 09.36 hrs</v>
      </c>
      <c r="J73" s="17" t="s">
        <v>648</v>
      </c>
    </row>
    <row r="74" spans="1:10" ht="14.25" customHeight="1" x14ac:dyDescent="0.35">
      <c r="A74">
        <v>73</v>
      </c>
      <c r="B74">
        <v>2173</v>
      </c>
      <c r="C74" t="s">
        <v>72</v>
      </c>
      <c r="D74" t="s">
        <v>73</v>
      </c>
      <c r="E74" s="6" t="s">
        <v>12</v>
      </c>
      <c r="F74" s="26" t="s">
        <v>108</v>
      </c>
      <c r="G74" s="13">
        <v>1</v>
      </c>
      <c r="H74" s="27" t="s">
        <v>109</v>
      </c>
      <c r="I74" t="str">
        <f>IF(H74="Track 2",IFERROR(_xlfn.XLOOKUP("*"&amp;LEFT(C74,FIND(" ",C74&amp;" ")-1)&amp;"*",'[1]Track 2'!$D$1:$D$99,'[1]Track 2'!$A$1:$A$99,,2),IFERROR(_xlfn.XLOOKUP("*"&amp;LEFT(C74,FIND(" ",C74&amp;" ")-1)&amp;"*",'[1]Track 2'!$I$1:$I$99,'[1]Track 2'!$F$1:$F$99,,2),"")),"")</f>
        <v>09.36 – 09.48 hrs</v>
      </c>
      <c r="J74" s="17" t="s">
        <v>649</v>
      </c>
    </row>
    <row r="75" spans="1:10" ht="14.25" customHeight="1" x14ac:dyDescent="0.35">
      <c r="A75">
        <v>74</v>
      </c>
      <c r="B75">
        <v>2174</v>
      </c>
      <c r="C75" s="13" t="s">
        <v>44</v>
      </c>
      <c r="D75" t="s">
        <v>39</v>
      </c>
      <c r="E75" s="6" t="s">
        <v>12</v>
      </c>
      <c r="F75" s="26" t="s">
        <v>108</v>
      </c>
      <c r="G75" s="13">
        <v>1</v>
      </c>
      <c r="H75" s="27" t="s">
        <v>109</v>
      </c>
      <c r="I75" t="str">
        <f>IF(H75="Track 2",IFERROR(_xlfn.XLOOKUP("*"&amp;LEFT(C75,FIND(" ",C75&amp;" ")-1)&amp;"*",'[1]Track 2'!$D$1:$D$99,'[1]Track 2'!$A$1:$A$99,,2),IFERROR(_xlfn.XLOOKUP("*"&amp;LEFT(C75,FIND(" ",C75&amp;" ")-1)&amp;"*",'[1]Track 2'!$I$1:$I$99,'[1]Track 2'!$F$1:$F$99,,2),"")),"")</f>
        <v/>
      </c>
      <c r="J75" t="s">
        <v>134</v>
      </c>
    </row>
    <row r="76" spans="1:10" ht="14.25" customHeight="1" x14ac:dyDescent="0.35">
      <c r="A76">
        <v>75</v>
      </c>
      <c r="B76">
        <v>2175</v>
      </c>
      <c r="C76" t="s">
        <v>117</v>
      </c>
      <c r="D76" t="s">
        <v>113</v>
      </c>
      <c r="E76" s="6" t="s">
        <v>25</v>
      </c>
      <c r="F76" s="26" t="s">
        <v>118</v>
      </c>
      <c r="G76" s="13">
        <v>1</v>
      </c>
      <c r="H76" s="27" t="s">
        <v>109</v>
      </c>
      <c r="I76" t="str">
        <f>IF(H76="Track 2",IFERROR(_xlfn.XLOOKUP("*"&amp;LEFT(C76,FIND(" ",C76&amp;" ")-1)&amp;"*",'[1]Track 2'!$D$1:$D$99,'[1]Track 2'!$A$1:$A$99,,2),IFERROR(_xlfn.XLOOKUP("*"&amp;LEFT(C76,FIND(" ",C76&amp;" ")-1)&amp;"*",'[1]Track 2'!$I$1:$I$99,'[1]Track 2'!$F$1:$F$99,,2),"")),"")</f>
        <v>09.12 – 09.24 hrs</v>
      </c>
      <c r="J76" t="s">
        <v>650</v>
      </c>
    </row>
    <row r="77" spans="1:10" ht="14.25" customHeight="1" x14ac:dyDescent="0.35">
      <c r="A77">
        <v>76</v>
      </c>
      <c r="B77">
        <v>2176</v>
      </c>
      <c r="C77" t="s">
        <v>79</v>
      </c>
      <c r="D77" t="s">
        <v>119</v>
      </c>
      <c r="E77" s="6" t="s">
        <v>86</v>
      </c>
      <c r="F77" s="26" t="s">
        <v>118</v>
      </c>
      <c r="G77" s="13">
        <v>1</v>
      </c>
      <c r="H77" s="27" t="s">
        <v>109</v>
      </c>
      <c r="I77" t="str">
        <f>IF(H77="Track 2",IFERROR(_xlfn.XLOOKUP("*"&amp;LEFT(C77,FIND(" ",C77&amp;" ")-1)&amp;"*",'[1]Track 2'!$D$1:$D$99,'[1]Track 2'!$A$1:$A$99,,2),IFERROR(_xlfn.XLOOKUP("*"&amp;LEFT(C77,FIND(" ",C77&amp;" ")-1)&amp;"*",'[1]Track 2'!$I$1:$I$99,'[1]Track 2'!$F$1:$F$99,,2),"")),"")</f>
        <v/>
      </c>
      <c r="J77" t="s">
        <v>134</v>
      </c>
    </row>
    <row r="78" spans="1:10" ht="14.25" customHeight="1" x14ac:dyDescent="0.35">
      <c r="A78">
        <v>77</v>
      </c>
      <c r="B78">
        <v>2177</v>
      </c>
      <c r="C78" t="s">
        <v>120</v>
      </c>
      <c r="D78" t="s">
        <v>121</v>
      </c>
      <c r="E78" s="6" t="s">
        <v>26</v>
      </c>
      <c r="F78" s="26" t="s">
        <v>118</v>
      </c>
      <c r="G78" s="13">
        <v>1</v>
      </c>
      <c r="H78" s="27" t="s">
        <v>109</v>
      </c>
      <c r="I78" t="str">
        <f>IF(H78="Track 2",IFERROR(_xlfn.XLOOKUP("*"&amp;LEFT(C78,FIND(" ",C78&amp;" ")-1)&amp;"*",'[1]Track 2'!$D$1:$D$99,'[1]Track 2'!$A$1:$A$99,,2),IFERROR(_xlfn.XLOOKUP("*"&amp;LEFT(C78,FIND(" ",C78&amp;" ")-1)&amp;"*",'[1]Track 2'!$I$1:$I$99,'[1]Track 2'!$F$1:$F$99,,2),"")),"")</f>
        <v>10.15 – 10.27 hrs</v>
      </c>
      <c r="J78" t="s">
        <v>651</v>
      </c>
    </row>
    <row r="79" spans="1:10" ht="14.25" customHeight="1" x14ac:dyDescent="0.35">
      <c r="A79">
        <v>78</v>
      </c>
      <c r="B79">
        <v>2178</v>
      </c>
      <c r="C79" t="s">
        <v>122</v>
      </c>
      <c r="D79" t="s">
        <v>75</v>
      </c>
      <c r="E79" s="6" t="s">
        <v>12</v>
      </c>
      <c r="F79" s="26" t="s">
        <v>118</v>
      </c>
      <c r="G79" s="13">
        <v>1</v>
      </c>
      <c r="H79" s="27" t="s">
        <v>109</v>
      </c>
      <c r="I79" t="str">
        <f>IF(H79="Track 2",IFERROR(_xlfn.XLOOKUP("*"&amp;LEFT(C79,FIND(" ",C79&amp;" ")-1)&amp;"*",'[1]Track 2'!$D$1:$D$99,'[1]Track 2'!$A$1:$A$99,,2),IFERROR(_xlfn.XLOOKUP("*"&amp;LEFT(C79,FIND(" ",C79&amp;" ")-1)&amp;"*",'[1]Track 2'!$I$1:$I$99,'[1]Track 2'!$F$1:$F$99,,2),"")),"")</f>
        <v>10.15 – 10.27 hrs</v>
      </c>
      <c r="J79" t="s">
        <v>651</v>
      </c>
    </row>
    <row r="80" spans="1:10" ht="14.25" customHeight="1" x14ac:dyDescent="0.35">
      <c r="A80">
        <v>79</v>
      </c>
      <c r="B80">
        <v>2179</v>
      </c>
      <c r="C80" t="s">
        <v>123</v>
      </c>
      <c r="D80" t="s">
        <v>124</v>
      </c>
      <c r="E80" s="6" t="s">
        <v>12</v>
      </c>
      <c r="F80" s="26" t="s">
        <v>118</v>
      </c>
      <c r="G80" s="13">
        <v>1</v>
      </c>
      <c r="H80" s="27" t="s">
        <v>109</v>
      </c>
      <c r="I80" t="str">
        <f>IF(H80="Track 2",IFERROR(_xlfn.XLOOKUP("*"&amp;LEFT(C80,FIND(" ",C80&amp;" ")-1)&amp;"*",'[1]Track 2'!$D$1:$D$99,'[1]Track 2'!$A$1:$A$99,,2),IFERROR(_xlfn.XLOOKUP("*"&amp;LEFT(C80,FIND(" ",C80&amp;" ")-1)&amp;"*",'[1]Track 2'!$I$1:$I$99,'[1]Track 2'!$F$1:$F$99,,2),"")),"")</f>
        <v>10.27 – 10.39 hrs</v>
      </c>
      <c r="J80" s="28" t="s">
        <v>652</v>
      </c>
    </row>
    <row r="81" spans="1:10" ht="14.25" customHeight="1" x14ac:dyDescent="0.35">
      <c r="A81">
        <v>80</v>
      </c>
      <c r="B81">
        <v>2180</v>
      </c>
      <c r="C81" t="s">
        <v>125</v>
      </c>
      <c r="D81" t="s">
        <v>111</v>
      </c>
      <c r="E81" s="6" t="s">
        <v>12</v>
      </c>
      <c r="F81" s="26" t="s">
        <v>118</v>
      </c>
      <c r="G81" s="13">
        <v>1</v>
      </c>
      <c r="H81" s="27" t="s">
        <v>109</v>
      </c>
      <c r="I81" t="str">
        <f>IF(H81="Track 2",IFERROR(_xlfn.XLOOKUP("*"&amp;LEFT(C81,FIND(" ",C81&amp;" ")-1)&amp;"*",'[1]Track 2'!$D$1:$D$99,'[1]Track 2'!$A$1:$A$99,,2),IFERROR(_xlfn.XLOOKUP("*"&amp;LEFT(C81,FIND(" ",C81&amp;" ")-1)&amp;"*",'[1]Track 2'!$I$1:$I$99,'[1]Track 2'!$F$1:$F$99,,2),"")),"")</f>
        <v>10.39 – 10.51 hrs</v>
      </c>
      <c r="J81" t="s">
        <v>653</v>
      </c>
    </row>
    <row r="82" spans="1:10" ht="14.25" customHeight="1" x14ac:dyDescent="0.35">
      <c r="A82">
        <v>81</v>
      </c>
      <c r="B82">
        <v>2181</v>
      </c>
      <c r="C82" t="s">
        <v>126</v>
      </c>
      <c r="D82" t="s">
        <v>39</v>
      </c>
      <c r="E82" s="6" t="s">
        <v>12</v>
      </c>
      <c r="F82" s="26" t="s">
        <v>118</v>
      </c>
      <c r="G82" s="13">
        <v>1</v>
      </c>
      <c r="H82" s="27" t="s">
        <v>109</v>
      </c>
      <c r="I82" t="str">
        <f>IF(H82="Track 2",IFERROR(_xlfn.XLOOKUP("*"&amp;LEFT(C82,FIND(" ",C82&amp;" ")-1)&amp;"*",'[1]Track 2'!$D$1:$D$99,'[1]Track 2'!$A$1:$A$99,,2),IFERROR(_xlfn.XLOOKUP("*"&amp;LEFT(C82,FIND(" ",C82&amp;" ")-1)&amp;"*",'[1]Track 2'!$I$1:$I$99,'[1]Track 2'!$F$1:$F$99,,2),"")),"")</f>
        <v>10.51 – 11.03 hrs</v>
      </c>
      <c r="J82" t="s">
        <v>654</v>
      </c>
    </row>
    <row r="83" spans="1:10" ht="14.25" customHeight="1" x14ac:dyDescent="0.35">
      <c r="A83">
        <v>82</v>
      </c>
      <c r="B83">
        <v>2182</v>
      </c>
      <c r="C83" s="6" t="s">
        <v>10</v>
      </c>
      <c r="D83" t="s">
        <v>11</v>
      </c>
      <c r="E83" s="6" t="s">
        <v>12</v>
      </c>
      <c r="F83" s="26" t="s">
        <v>118</v>
      </c>
      <c r="G83" s="13">
        <v>1</v>
      </c>
      <c r="H83" s="27" t="s">
        <v>109</v>
      </c>
      <c r="I83" t="str">
        <f>IF(H83="Track 2",IFERROR(_xlfn.XLOOKUP("*"&amp;LEFT(C83,FIND(" ",C83&amp;" ")-1)&amp;"*",'[1]Track 2'!$D$1:$D$99,'[1]Track 2'!$A$1:$A$99,,2),IFERROR(_xlfn.XLOOKUP("*"&amp;LEFT(C83,FIND(" ",C83&amp;" ")-1)&amp;"*",'[1]Track 2'!$I$1:$I$99,'[1]Track 2'!$F$1:$F$99,,2),"")),"")</f>
        <v>11.03 – 11.15 hrs</v>
      </c>
      <c r="J83" t="s">
        <v>655</v>
      </c>
    </row>
    <row r="84" spans="1:10" ht="14.25" customHeight="1" x14ac:dyDescent="0.35">
      <c r="A84">
        <v>83</v>
      </c>
      <c r="B84">
        <v>2183</v>
      </c>
      <c r="C84" t="s">
        <v>40</v>
      </c>
      <c r="D84" t="s">
        <v>33</v>
      </c>
      <c r="E84" s="6" t="s">
        <v>25</v>
      </c>
      <c r="F84" s="26" t="s">
        <v>127</v>
      </c>
      <c r="G84" s="13">
        <v>1</v>
      </c>
      <c r="H84" s="27" t="s">
        <v>109</v>
      </c>
      <c r="I84" t="str">
        <f>IF(H84="Track 2",IFERROR(_xlfn.XLOOKUP("*"&amp;LEFT(C84,FIND(" ",C84&amp;" ")-1)&amp;"*",'[1]Track 2'!$D$1:$D$99,'[1]Track 2'!$A$1:$A$99,,2),IFERROR(_xlfn.XLOOKUP("*"&amp;LEFT(C84,FIND(" ",C84&amp;" ")-1)&amp;"*",'[1]Track 2'!$I$1:$I$99,'[1]Track 2'!$F$1:$F$99,,2),"")),"")</f>
        <v>09.36 – 09.48 hrs</v>
      </c>
      <c r="J84" s="17" t="s">
        <v>649</v>
      </c>
    </row>
    <row r="85" spans="1:10" ht="14.25" customHeight="1" x14ac:dyDescent="0.35">
      <c r="A85">
        <v>84</v>
      </c>
      <c r="B85">
        <v>2184</v>
      </c>
      <c r="C85" t="s">
        <v>128</v>
      </c>
      <c r="D85" t="s">
        <v>129</v>
      </c>
      <c r="E85" s="6" t="s">
        <v>86</v>
      </c>
      <c r="F85" s="26" t="s">
        <v>127</v>
      </c>
      <c r="G85" s="13">
        <v>1</v>
      </c>
      <c r="H85" s="27" t="s">
        <v>109</v>
      </c>
      <c r="I85" t="str">
        <f>IF(H85="Track 2",IFERROR(_xlfn.XLOOKUP("*"&amp;LEFT(C85,FIND(" ",C85&amp;" ")-1)&amp;"*",'[1]Track 2'!$D$1:$D$99,'[1]Track 2'!$A$1:$A$99,,2),IFERROR(_xlfn.XLOOKUP("*"&amp;LEFT(C85,FIND(" ",C85&amp;" ")-1)&amp;"*",'[1]Track 2'!$I$1:$I$99,'[1]Track 2'!$F$1:$F$99,,2),"")),"")</f>
        <v/>
      </c>
      <c r="J85" s="17" t="s">
        <v>134</v>
      </c>
    </row>
    <row r="86" spans="1:10" ht="14.25" customHeight="1" x14ac:dyDescent="0.35">
      <c r="A86">
        <v>85</v>
      </c>
      <c r="B86">
        <v>2185</v>
      </c>
      <c r="C86" t="s">
        <v>130</v>
      </c>
      <c r="D86" t="s">
        <v>111</v>
      </c>
      <c r="E86" s="6" t="s">
        <v>26</v>
      </c>
      <c r="F86" s="26" t="s">
        <v>127</v>
      </c>
      <c r="G86" s="13">
        <v>1</v>
      </c>
      <c r="H86" s="27" t="s">
        <v>109</v>
      </c>
      <c r="I86" t="str">
        <f>IF(H86="Track 2",IFERROR(_xlfn.XLOOKUP("*"&amp;LEFT(C86,FIND(" ",C86&amp;" ")-1)&amp;"*",'[1]Track 2'!$D$1:$D$99,'[1]Track 2'!$A$1:$A$99,,2),IFERROR(_xlfn.XLOOKUP("*"&amp;LEFT(C86,FIND(" ",C86&amp;" ")-1)&amp;"*",'[1]Track 2'!$I$1:$I$99,'[1]Track 2'!$F$1:$F$99,,2),"")),"")</f>
        <v/>
      </c>
      <c r="J86" t="s">
        <v>134</v>
      </c>
    </row>
    <row r="87" spans="1:10" ht="14.25" customHeight="1" x14ac:dyDescent="0.35">
      <c r="A87">
        <v>86</v>
      </c>
      <c r="B87">
        <v>2186</v>
      </c>
      <c r="C87" t="s">
        <v>93</v>
      </c>
      <c r="D87" t="s">
        <v>94</v>
      </c>
      <c r="E87" s="6" t="s">
        <v>12</v>
      </c>
      <c r="F87" s="26" t="s">
        <v>127</v>
      </c>
      <c r="G87" s="13">
        <v>1</v>
      </c>
      <c r="H87" s="27" t="s">
        <v>109</v>
      </c>
      <c r="I87" t="str">
        <f>IF(H87="Track 2",IFERROR(_xlfn.XLOOKUP("*"&amp;LEFT(C87,FIND(" ",C87&amp;" ")-1)&amp;"*",'[1]Track 2'!$D$1:$D$99,'[1]Track 2'!$A$1:$A$99,,2),IFERROR(_xlfn.XLOOKUP("*"&amp;LEFT(C87,FIND(" ",C87&amp;" ")-1)&amp;"*",'[1]Track 2'!$I$1:$I$99,'[1]Track 2'!$F$1:$F$99,,2),"")),"")</f>
        <v>11.30 – 11.42 hrs</v>
      </c>
      <c r="J87" t="s">
        <v>645</v>
      </c>
    </row>
    <row r="88" spans="1:10" ht="14.25" customHeight="1" x14ac:dyDescent="0.35">
      <c r="A88">
        <v>87</v>
      </c>
      <c r="B88">
        <v>2187</v>
      </c>
      <c r="C88" t="s">
        <v>131</v>
      </c>
      <c r="D88" t="s">
        <v>132</v>
      </c>
      <c r="E88" s="6" t="s">
        <v>12</v>
      </c>
      <c r="F88" s="26" t="s">
        <v>127</v>
      </c>
      <c r="G88" s="13">
        <v>1</v>
      </c>
      <c r="H88" s="27" t="s">
        <v>109</v>
      </c>
      <c r="I88" t="str">
        <f>IF(H88="Track 2",IFERROR(_xlfn.XLOOKUP("*"&amp;LEFT(C88,FIND(" ",C88&amp;" ")-1)&amp;"*",'[1]Track 2'!$D$1:$D$99,'[1]Track 2'!$A$1:$A$99,,2),IFERROR(_xlfn.XLOOKUP("*"&amp;LEFT(C88,FIND(" ",C88&amp;" ")-1)&amp;"*",'[1]Track 2'!$I$1:$I$99,'[1]Track 2'!$F$1:$F$99,,2),"")),"")</f>
        <v>11.42 – 11.54 hrs</v>
      </c>
      <c r="J88" s="17" t="s">
        <v>656</v>
      </c>
    </row>
    <row r="89" spans="1:10" ht="14.25" customHeight="1" x14ac:dyDescent="0.35">
      <c r="A89">
        <v>88</v>
      </c>
      <c r="B89">
        <v>2188</v>
      </c>
      <c r="C89" t="s">
        <v>133</v>
      </c>
      <c r="D89" t="s">
        <v>134</v>
      </c>
      <c r="E89" s="6" t="s">
        <v>12</v>
      </c>
      <c r="F89" s="26" t="s">
        <v>127</v>
      </c>
      <c r="G89" s="13">
        <v>1</v>
      </c>
      <c r="H89" s="27" t="s">
        <v>109</v>
      </c>
      <c r="I89" t="str">
        <f>IF(H89="Track 2",IFERROR(_xlfn.XLOOKUP("*"&amp;LEFT(C89,FIND(" ",C89&amp;" ")-1)&amp;"*",'[1]Track 2'!$D$1:$D$99,'[1]Track 2'!$A$1:$A$99,,2),IFERROR(_xlfn.XLOOKUP("*"&amp;LEFT(C89,FIND(" ",C89&amp;" ")-1)&amp;"*",'[1]Track 2'!$I$1:$I$99,'[1]Track 2'!$F$1:$F$99,,2),"")),"")</f>
        <v>11.54 – 12.06 hrs</v>
      </c>
      <c r="J89" t="s">
        <v>657</v>
      </c>
    </row>
    <row r="90" spans="1:10" ht="14.25" customHeight="1" x14ac:dyDescent="0.35">
      <c r="A90">
        <v>89</v>
      </c>
      <c r="B90">
        <v>2189</v>
      </c>
      <c r="C90" t="s">
        <v>38</v>
      </c>
      <c r="D90" t="s">
        <v>39</v>
      </c>
      <c r="E90" s="6" t="s">
        <v>12</v>
      </c>
      <c r="F90" s="26" t="s">
        <v>127</v>
      </c>
      <c r="G90" s="13">
        <v>1</v>
      </c>
      <c r="H90" s="27" t="s">
        <v>109</v>
      </c>
      <c r="I90" t="str">
        <f>IF(H90="Track 2",IFERROR(_xlfn.XLOOKUP("*"&amp;LEFT(C90,FIND(" ",C90&amp;" ")-1)&amp;"*",'[1]Track 2'!$D$1:$D$99,'[1]Track 2'!$A$1:$A$99,,2),IFERROR(_xlfn.XLOOKUP("*"&amp;LEFT(C90,FIND(" ",C90&amp;" ")-1)&amp;"*",'[1]Track 2'!$I$1:$I$99,'[1]Track 2'!$F$1:$F$99,,2),"")),"")</f>
        <v>12.06 – 12.18 hrs</v>
      </c>
      <c r="J90" t="s">
        <v>658</v>
      </c>
    </row>
    <row r="91" spans="1:10" ht="14.25" customHeight="1" x14ac:dyDescent="0.35">
      <c r="A91">
        <v>90</v>
      </c>
      <c r="B91">
        <v>2190</v>
      </c>
      <c r="C91" t="s">
        <v>95</v>
      </c>
      <c r="D91" t="s">
        <v>33</v>
      </c>
      <c r="E91" s="6" t="s">
        <v>12</v>
      </c>
      <c r="F91" s="26" t="s">
        <v>127</v>
      </c>
      <c r="G91" s="13">
        <v>1</v>
      </c>
      <c r="H91" s="27" t="s">
        <v>109</v>
      </c>
      <c r="I91" t="str">
        <f>IF(H91="Track 2",IFERROR(_xlfn.XLOOKUP("*"&amp;LEFT(C91,FIND(" ",C91&amp;" ")-1)&amp;"*",'[1]Track 2'!$D$1:$D$99,'[1]Track 2'!$A$1:$A$99,,2),IFERROR(_xlfn.XLOOKUP("*"&amp;LEFT(C91,FIND(" ",C91&amp;" ")-1)&amp;"*",'[1]Track 2'!$I$1:$I$99,'[1]Track 2'!$F$1:$F$99,,2),"")),"")</f>
        <v>12.18 – 12.30 hrs</v>
      </c>
      <c r="J91" t="s">
        <v>659</v>
      </c>
    </row>
    <row r="92" spans="1:10" ht="14.25" customHeight="1" x14ac:dyDescent="0.35">
      <c r="A92">
        <v>91</v>
      </c>
      <c r="B92">
        <v>2191</v>
      </c>
      <c r="C92" t="s">
        <v>135</v>
      </c>
      <c r="D92" t="s">
        <v>11</v>
      </c>
      <c r="E92" s="6" t="s">
        <v>25</v>
      </c>
      <c r="F92" s="26" t="s">
        <v>136</v>
      </c>
      <c r="G92" s="13">
        <v>1</v>
      </c>
      <c r="H92" s="27" t="s">
        <v>109</v>
      </c>
      <c r="I92" t="str">
        <f>IF(H92="Track 2",IFERROR(_xlfn.XLOOKUP("*"&amp;LEFT(C92,FIND(" ",C92&amp;" ")-1)&amp;"*",'[1]Track 2'!$D$1:$D$99,'[1]Track 2'!$A$1:$A$99,,2),IFERROR(_xlfn.XLOOKUP("*"&amp;LEFT(C92,FIND(" ",C92&amp;" ")-1)&amp;"*",'[1]Track 2'!$I$1:$I$99,'[1]Track 2'!$F$1:$F$99,,2),"")),"")</f>
        <v>10.15 – 10.27 hrs</v>
      </c>
      <c r="J92" t="s">
        <v>660</v>
      </c>
    </row>
    <row r="93" spans="1:10" ht="14.25" customHeight="1" x14ac:dyDescent="0.35">
      <c r="A93">
        <v>92</v>
      </c>
      <c r="B93">
        <v>2192</v>
      </c>
      <c r="C93" t="s">
        <v>74</v>
      </c>
      <c r="D93" t="s">
        <v>75</v>
      </c>
      <c r="E93" s="6" t="s">
        <v>86</v>
      </c>
      <c r="F93" s="26" t="s">
        <v>136</v>
      </c>
      <c r="G93" s="13">
        <v>1</v>
      </c>
      <c r="H93" s="27" t="s">
        <v>109</v>
      </c>
      <c r="I93" t="str">
        <f>IF(H93="Track 2",IFERROR(_xlfn.XLOOKUP("*"&amp;LEFT(C93,FIND(" ",C93&amp;" ")-1)&amp;"*",'[1]Track 2'!$D$1:$D$99,'[1]Track 2'!$A$1:$A$99,,2),IFERROR(_xlfn.XLOOKUP("*"&amp;LEFT(C93,FIND(" ",C93&amp;" ")-1)&amp;"*",'[1]Track 2'!$I$1:$I$99,'[1]Track 2'!$F$1:$F$99,,2),"")),"")</f>
        <v>09.48 – 10.00 hrs</v>
      </c>
      <c r="J93" s="29" t="s">
        <v>661</v>
      </c>
    </row>
    <row r="94" spans="1:10" ht="14.25" customHeight="1" x14ac:dyDescent="0.35">
      <c r="A94">
        <v>93</v>
      </c>
      <c r="B94">
        <v>2193</v>
      </c>
      <c r="C94" t="s">
        <v>137</v>
      </c>
      <c r="D94" t="s">
        <v>107</v>
      </c>
      <c r="E94" s="6" t="s">
        <v>12</v>
      </c>
      <c r="F94" s="26" t="s">
        <v>136</v>
      </c>
      <c r="G94" s="13">
        <v>1</v>
      </c>
      <c r="H94" s="27" t="s">
        <v>109</v>
      </c>
      <c r="I94" t="str">
        <f>IF(H94="Track 2",IFERROR(_xlfn.XLOOKUP("*"&amp;LEFT(C94,FIND(" ",C94&amp;" ")-1)&amp;"*",'[1]Track 2'!$D$1:$D$99,'[1]Track 2'!$A$1:$A$99,,2),IFERROR(_xlfn.XLOOKUP("*"&amp;LEFT(C94,FIND(" ",C94&amp;" ")-1)&amp;"*",'[1]Track 2'!$I$1:$I$99,'[1]Track 2'!$F$1:$F$99,,2),"")),"")</f>
        <v>12.40 – 12.50 hrs</v>
      </c>
      <c r="J94" t="s">
        <v>662</v>
      </c>
    </row>
    <row r="95" spans="1:10" ht="14.25" customHeight="1" x14ac:dyDescent="0.35">
      <c r="A95">
        <v>94</v>
      </c>
      <c r="B95">
        <v>2194</v>
      </c>
      <c r="C95" t="s">
        <v>40</v>
      </c>
      <c r="D95" t="s">
        <v>33</v>
      </c>
      <c r="E95" s="6" t="s">
        <v>12</v>
      </c>
      <c r="F95" s="26" t="s">
        <v>136</v>
      </c>
      <c r="G95" s="13">
        <v>1</v>
      </c>
      <c r="H95" s="27" t="s">
        <v>109</v>
      </c>
      <c r="I95" t="str">
        <f>IF(H95="Track 2",IFERROR(_xlfn.XLOOKUP("*"&amp;LEFT(C95,FIND(" ",C95&amp;" ")-1)&amp;"*",'[1]Track 2'!$D$1:$D$99,'[1]Track 2'!$A$1:$A$99,,2),IFERROR(_xlfn.XLOOKUP("*"&amp;LEFT(C95,FIND(" ",C95&amp;" ")-1)&amp;"*",'[1]Track 2'!$I$1:$I$99,'[1]Track 2'!$F$1:$F$99,,2),"")),"")</f>
        <v>09.36 – 09.48 hrs</v>
      </c>
      <c r="J95" s="17" t="s">
        <v>649</v>
      </c>
    </row>
    <row r="96" spans="1:10" ht="14.25" customHeight="1" x14ac:dyDescent="0.35">
      <c r="A96">
        <v>95</v>
      </c>
      <c r="B96">
        <v>2195</v>
      </c>
      <c r="C96" t="s">
        <v>23</v>
      </c>
      <c r="D96" t="s">
        <v>119</v>
      </c>
      <c r="E96" s="6" t="s">
        <v>12</v>
      </c>
      <c r="F96" s="26" t="s">
        <v>136</v>
      </c>
      <c r="G96" s="13">
        <v>1</v>
      </c>
      <c r="H96" s="27" t="s">
        <v>109</v>
      </c>
      <c r="I96" t="str">
        <f>IF(H96="Track 2",IFERROR(_xlfn.XLOOKUP("*"&amp;LEFT(C96,FIND(" ",C96&amp;" ")-1)&amp;"*",'[1]Track 2'!$D$1:$D$99,'[1]Track 2'!$A$1:$A$99,,2),IFERROR(_xlfn.XLOOKUP("*"&amp;LEFT(C96,FIND(" ",C96&amp;" ")-1)&amp;"*",'[1]Track 2'!$I$1:$I$99,'[1]Track 2'!$F$1:$F$99,,2),"")),"")</f>
        <v>01.00 – 01.10 hrs</v>
      </c>
      <c r="J96" s="17" t="s">
        <v>663</v>
      </c>
    </row>
    <row r="97" spans="1:10" ht="14.25" customHeight="1" x14ac:dyDescent="0.35">
      <c r="A97">
        <v>96</v>
      </c>
      <c r="B97">
        <v>2196</v>
      </c>
      <c r="C97" t="s">
        <v>138</v>
      </c>
      <c r="D97" t="s">
        <v>132</v>
      </c>
      <c r="E97" s="6" t="s">
        <v>12</v>
      </c>
      <c r="F97" s="26" t="s">
        <v>136</v>
      </c>
      <c r="G97" s="13">
        <v>1</v>
      </c>
      <c r="H97" s="27" t="s">
        <v>109</v>
      </c>
      <c r="I97" t="str">
        <f>IF(H97="Track 2",IFERROR(_xlfn.XLOOKUP("*"&amp;LEFT(C97,FIND(" ",C97&amp;" ")-1)&amp;"*",'[1]Track 2'!$D$1:$D$99,'[1]Track 2'!$A$1:$A$99,,2),IFERROR(_xlfn.XLOOKUP("*"&amp;LEFT(C97,FIND(" ",C97&amp;" ")-1)&amp;"*",'[1]Track 2'!$I$1:$I$99,'[1]Track 2'!$F$1:$F$99,,2),"")),"")</f>
        <v>01.10 – 01.20 hrs</v>
      </c>
      <c r="J97" s="29" t="s">
        <v>664</v>
      </c>
    </row>
    <row r="98" spans="1:10" ht="14.25" customHeight="1" x14ac:dyDescent="0.35">
      <c r="A98">
        <v>97</v>
      </c>
      <c r="B98">
        <v>2197</v>
      </c>
      <c r="C98" t="s">
        <v>139</v>
      </c>
      <c r="D98" t="s">
        <v>132</v>
      </c>
      <c r="E98" s="6" t="s">
        <v>12</v>
      </c>
      <c r="F98" s="26" t="s">
        <v>136</v>
      </c>
      <c r="G98" s="13">
        <v>1</v>
      </c>
      <c r="H98" s="27" t="s">
        <v>109</v>
      </c>
      <c r="I98" t="str">
        <f>IF(H98="Track 2",IFERROR(_xlfn.XLOOKUP("*"&amp;LEFT(C98,FIND(" ",C98&amp;" ")-1)&amp;"*",'[1]Track 2'!$D$1:$D$99,'[1]Track 2'!$A$1:$A$99,,2),IFERROR(_xlfn.XLOOKUP("*"&amp;LEFT(C98,FIND(" ",C98&amp;" ")-1)&amp;"*",'[1]Track 2'!$I$1:$I$99,'[1]Track 2'!$F$1:$F$99,,2),"")),"")</f>
        <v>01.20 – 01.30 hrs</v>
      </c>
      <c r="J98" s="30" t="s">
        <v>665</v>
      </c>
    </row>
    <row r="99" spans="1:10" ht="14.25" customHeight="1" x14ac:dyDescent="0.35">
      <c r="A99">
        <v>98</v>
      </c>
      <c r="B99">
        <v>2298</v>
      </c>
      <c r="C99" t="s">
        <v>23</v>
      </c>
      <c r="D99" t="s">
        <v>119</v>
      </c>
      <c r="E99" s="6" t="s">
        <v>25</v>
      </c>
      <c r="F99" s="26" t="s">
        <v>140</v>
      </c>
      <c r="G99" s="13">
        <v>2</v>
      </c>
      <c r="H99" s="27" t="s">
        <v>109</v>
      </c>
      <c r="I99" t="str">
        <f>IF(H99="Track 2",IFERROR(_xlfn.XLOOKUP("*"&amp;LEFT(C99,FIND(" ",C99&amp;" ")-1)&amp;"*",'[1]Track 2'!$D$1:$D$99,'[1]Track 2'!$A$1:$A$99,,2),IFERROR(_xlfn.XLOOKUP("*"&amp;LEFT(C99,FIND(" ",C99&amp;" ")-1)&amp;"*",'[1]Track 2'!$I$1:$I$99,'[1]Track 2'!$F$1:$F$99,,2),"")),"")</f>
        <v>01.00 – 01.10 hrs</v>
      </c>
      <c r="J99" s="17" t="s">
        <v>663</v>
      </c>
    </row>
    <row r="100" spans="1:10" ht="14.25" customHeight="1" x14ac:dyDescent="0.35">
      <c r="A100">
        <v>99</v>
      </c>
      <c r="B100">
        <v>2299</v>
      </c>
      <c r="C100" t="s">
        <v>141</v>
      </c>
      <c r="D100" t="s">
        <v>113</v>
      </c>
      <c r="E100" s="6" t="s">
        <v>86</v>
      </c>
      <c r="F100" s="26" t="s">
        <v>140</v>
      </c>
      <c r="G100" s="13">
        <v>2</v>
      </c>
      <c r="H100" s="27" t="s">
        <v>109</v>
      </c>
      <c r="I100" t="str">
        <f>IF(H100="Track 2",IFERROR(_xlfn.XLOOKUP("*"&amp;LEFT(C100,FIND(" ",C100&amp;" ")-1)&amp;"*",'[1]Track 2'!$D$1:$D$99,'[1]Track 2'!$A$1:$A$99,,2),IFERROR(_xlfn.XLOOKUP("*"&amp;LEFT(C100,FIND(" ",C100&amp;" ")-1)&amp;"*",'[1]Track 2'!$I$1:$I$99,'[1]Track 2'!$F$1:$F$99,,2),"")),"")</f>
        <v/>
      </c>
      <c r="J100" t="s">
        <v>134</v>
      </c>
    </row>
    <row r="101" spans="1:10" ht="14.25" customHeight="1" x14ac:dyDescent="0.35">
      <c r="A101">
        <v>100</v>
      </c>
      <c r="B101">
        <v>22100</v>
      </c>
      <c r="C101" t="s">
        <v>142</v>
      </c>
      <c r="D101" t="s">
        <v>33</v>
      </c>
      <c r="E101" s="6" t="s">
        <v>26</v>
      </c>
      <c r="F101" s="26" t="s">
        <v>140</v>
      </c>
      <c r="G101" s="13">
        <v>2</v>
      </c>
      <c r="H101" s="27" t="s">
        <v>109</v>
      </c>
      <c r="I101" t="str">
        <f>IF(H101="Track 2",IFERROR(_xlfn.XLOOKUP("*"&amp;LEFT(C101,FIND(" ",C101&amp;" ")-1)&amp;"*",'[1]Track 2'!$D$1:$D$99,'[1]Track 2'!$A$1:$A$99,,2),IFERROR(_xlfn.XLOOKUP("*"&amp;LEFT(C101,FIND(" ",C101&amp;" ")-1)&amp;"*",'[1]Track 2'!$I$1:$I$99,'[1]Track 2'!$F$1:$F$99,,2),"")),"")</f>
        <v>11.30 – 11.42 hrs</v>
      </c>
      <c r="J101" t="s">
        <v>666</v>
      </c>
    </row>
    <row r="102" spans="1:10" ht="14.25" customHeight="1" x14ac:dyDescent="0.35">
      <c r="A102">
        <v>101</v>
      </c>
      <c r="B102">
        <v>22101</v>
      </c>
      <c r="C102" t="s">
        <v>117</v>
      </c>
      <c r="D102" t="s">
        <v>113</v>
      </c>
      <c r="E102" s="6" t="s">
        <v>12</v>
      </c>
      <c r="F102" s="26" t="s">
        <v>140</v>
      </c>
      <c r="G102" s="13">
        <v>2</v>
      </c>
      <c r="H102" s="27" t="s">
        <v>109</v>
      </c>
      <c r="I102" t="str">
        <f>IF(H102="Track 2",IFERROR(_xlfn.XLOOKUP("*"&amp;LEFT(C102,FIND(" ",C102&amp;" ")-1)&amp;"*",'[1]Track 2'!$D$1:$D$99,'[1]Track 2'!$A$1:$A$99,,2),IFERROR(_xlfn.XLOOKUP("*"&amp;LEFT(C102,FIND(" ",C102&amp;" ")-1)&amp;"*",'[1]Track 2'!$I$1:$I$99,'[1]Track 2'!$F$1:$F$99,,2),"")),"")</f>
        <v>09.12 – 09.24 hrs</v>
      </c>
      <c r="J102" t="s">
        <v>650</v>
      </c>
    </row>
    <row r="103" spans="1:10" ht="14.25" customHeight="1" x14ac:dyDescent="0.35">
      <c r="A103">
        <v>102</v>
      </c>
      <c r="B103">
        <v>22102</v>
      </c>
      <c r="C103" t="s">
        <v>143</v>
      </c>
      <c r="D103" t="s">
        <v>144</v>
      </c>
      <c r="E103" s="6" t="s">
        <v>12</v>
      </c>
      <c r="F103" s="26" t="s">
        <v>140</v>
      </c>
      <c r="G103" s="13">
        <v>2</v>
      </c>
      <c r="H103" s="27" t="s">
        <v>109</v>
      </c>
      <c r="I103" t="str">
        <f>IF(H103="Track 2",IFERROR(_xlfn.XLOOKUP("*"&amp;LEFT(C103,FIND(" ",C103&amp;" ")-1)&amp;"*",'[1]Track 2'!$D$1:$D$99,'[1]Track 2'!$A$1:$A$99,,2),IFERROR(_xlfn.XLOOKUP("*"&amp;LEFT(C103,FIND(" ",C103&amp;" ")-1)&amp;"*",'[1]Track 2'!$I$1:$I$99,'[1]Track 2'!$F$1:$F$99,,2),"")),"")</f>
        <v>09.24 – 09.36 hrs</v>
      </c>
      <c r="J103" t="s">
        <v>667</v>
      </c>
    </row>
    <row r="104" spans="1:10" ht="14.25" customHeight="1" x14ac:dyDescent="0.35">
      <c r="A104">
        <v>103</v>
      </c>
      <c r="B104">
        <v>22103</v>
      </c>
      <c r="C104" t="s">
        <v>145</v>
      </c>
      <c r="D104" t="s">
        <v>146</v>
      </c>
      <c r="E104" s="6" t="s">
        <v>12</v>
      </c>
      <c r="F104" s="26" t="s">
        <v>140</v>
      </c>
      <c r="G104" s="13">
        <v>2</v>
      </c>
      <c r="H104" s="27" t="s">
        <v>109</v>
      </c>
      <c r="I104" t="str">
        <f>IF(H104="Track 2",IFERROR(_xlfn.XLOOKUP("*"&amp;LEFT(C104,FIND(" ",C104&amp;" ")-1)&amp;"*",'[1]Track 2'!$D$1:$D$99,'[1]Track 2'!$A$1:$A$99,,2),IFERROR(_xlfn.XLOOKUP("*"&amp;LEFT(C104,FIND(" ",C104&amp;" ")-1)&amp;"*",'[1]Track 2'!$I$1:$I$99,'[1]Track 2'!$F$1:$F$99,,2),"")),"")</f>
        <v>09.36 – 09.48 hrs</v>
      </c>
      <c r="J104" t="s">
        <v>668</v>
      </c>
    </row>
    <row r="105" spans="1:10" ht="14.25" customHeight="1" x14ac:dyDescent="0.35">
      <c r="A105">
        <v>104</v>
      </c>
      <c r="B105">
        <v>22104</v>
      </c>
      <c r="C105" t="s">
        <v>74</v>
      </c>
      <c r="D105" t="s">
        <v>75</v>
      </c>
      <c r="E105" s="6" t="s">
        <v>12</v>
      </c>
      <c r="F105" s="26" t="s">
        <v>140</v>
      </c>
      <c r="G105" s="13">
        <v>2</v>
      </c>
      <c r="H105" s="27" t="s">
        <v>109</v>
      </c>
      <c r="I105" t="str">
        <f>IF(H105="Track 2",IFERROR(_xlfn.XLOOKUP("*"&amp;LEFT(C105,FIND(" ",C105&amp;" ")-1)&amp;"*",'[1]Track 2'!$D$1:$D$99,'[1]Track 2'!$A$1:$A$99,,2),IFERROR(_xlfn.XLOOKUP("*"&amp;LEFT(C105,FIND(" ",C105&amp;" ")-1)&amp;"*",'[1]Track 2'!$I$1:$I$99,'[1]Track 2'!$F$1:$F$99,,2),"")),"")</f>
        <v>09.48 – 10.00 hrs</v>
      </c>
      <c r="J105" s="17" t="s">
        <v>661</v>
      </c>
    </row>
    <row r="106" spans="1:10" ht="14.25" customHeight="1" x14ac:dyDescent="0.35">
      <c r="A106">
        <v>105</v>
      </c>
      <c r="B106">
        <v>22105</v>
      </c>
      <c r="C106" t="s">
        <v>112</v>
      </c>
      <c r="D106" t="s">
        <v>113</v>
      </c>
      <c r="E106" s="6" t="s">
        <v>25</v>
      </c>
      <c r="F106" s="26" t="s">
        <v>147</v>
      </c>
      <c r="G106" s="13">
        <v>2</v>
      </c>
      <c r="H106" s="27" t="s">
        <v>109</v>
      </c>
      <c r="I106" t="str">
        <f>IF(H106="Track 2",IFERROR(_xlfn.XLOOKUP("*"&amp;LEFT(C106,FIND(" ",C106&amp;" ")-1)&amp;"*",'[1]Track 2'!$D$1:$D$99,'[1]Track 2'!$A$1:$A$99,,2),IFERROR(_xlfn.XLOOKUP("*"&amp;LEFT(C106,FIND(" ",C106&amp;" ")-1)&amp;"*",'[1]Track 2'!$I$1:$I$99,'[1]Track 2'!$F$1:$F$99,,2),"")),"")</f>
        <v>09.00 – 09.12 hrs</v>
      </c>
      <c r="J106" t="s">
        <v>646</v>
      </c>
    </row>
    <row r="107" spans="1:10" ht="14.25" customHeight="1" x14ac:dyDescent="0.35">
      <c r="A107">
        <v>106</v>
      </c>
      <c r="B107">
        <v>22106</v>
      </c>
      <c r="C107" t="s">
        <v>148</v>
      </c>
      <c r="D107" t="s">
        <v>18</v>
      </c>
      <c r="E107" s="6" t="s">
        <v>86</v>
      </c>
      <c r="F107" s="26" t="s">
        <v>147</v>
      </c>
      <c r="G107" s="13">
        <v>2</v>
      </c>
      <c r="H107" s="27" t="s">
        <v>109</v>
      </c>
      <c r="I107" t="str">
        <f>IF(H107="Track 2",IFERROR(_xlfn.XLOOKUP("*"&amp;LEFT(C107,FIND(" ",C107&amp;" ")-1)&amp;"*",'[1]Track 2'!$D$1:$D$99,'[1]Track 2'!$A$1:$A$99,,2),IFERROR(_xlfn.XLOOKUP("*"&amp;LEFT(C107,FIND(" ",C107&amp;" ")-1)&amp;"*",'[1]Track 2'!$I$1:$I$99,'[1]Track 2'!$F$1:$F$99,,2),"")),"")</f>
        <v/>
      </c>
      <c r="J107" t="s">
        <v>134</v>
      </c>
    </row>
    <row r="108" spans="1:10" ht="14.25" customHeight="1" x14ac:dyDescent="0.35">
      <c r="A108">
        <v>107</v>
      </c>
      <c r="B108">
        <v>22107</v>
      </c>
      <c r="C108" t="s">
        <v>149</v>
      </c>
      <c r="D108" t="s">
        <v>150</v>
      </c>
      <c r="E108" s="6" t="s">
        <v>26</v>
      </c>
      <c r="F108" s="26" t="s">
        <v>147</v>
      </c>
      <c r="G108" s="13">
        <v>2</v>
      </c>
      <c r="H108" s="27" t="s">
        <v>109</v>
      </c>
      <c r="I108" t="str">
        <f>IF(H108="Track 2",IFERROR(_xlfn.XLOOKUP("*"&amp;LEFT(C108,FIND(" ",C108&amp;" ")-1)&amp;"*",'[1]Track 2'!$D$1:$D$99,'[1]Track 2'!$A$1:$A$99,,2),IFERROR(_xlfn.XLOOKUP("*"&amp;LEFT(C108,FIND(" ",C108&amp;" ")-1)&amp;"*",'[1]Track 2'!$I$1:$I$99,'[1]Track 2'!$F$1:$F$99,,2),"")),"")</f>
        <v/>
      </c>
      <c r="J108" t="s">
        <v>134</v>
      </c>
    </row>
    <row r="109" spans="1:10" ht="14.25" customHeight="1" x14ac:dyDescent="0.35">
      <c r="A109">
        <v>108</v>
      </c>
      <c r="B109">
        <v>22108</v>
      </c>
      <c r="C109" t="s">
        <v>151</v>
      </c>
      <c r="D109" t="s">
        <v>73</v>
      </c>
      <c r="E109" s="6" t="s">
        <v>12</v>
      </c>
      <c r="F109" s="26" t="s">
        <v>147</v>
      </c>
      <c r="G109" s="13">
        <v>2</v>
      </c>
      <c r="H109" s="27" t="s">
        <v>109</v>
      </c>
      <c r="I109" t="str">
        <f>IF(H109="Track 2",IFERROR(_xlfn.XLOOKUP("*"&amp;LEFT(C109,FIND(" ",C109&amp;" ")-1)&amp;"*",'[1]Track 2'!$D$1:$D$99,'[1]Track 2'!$A$1:$A$99,,2),IFERROR(_xlfn.XLOOKUP("*"&amp;LEFT(C109,FIND(" ",C109&amp;" ")-1)&amp;"*",'[1]Track 2'!$I$1:$I$99,'[1]Track 2'!$F$1:$F$99,,2),"")),"")</f>
        <v>10.27 – 10.39 hrs</v>
      </c>
      <c r="J109" s="18" t="s">
        <v>669</v>
      </c>
    </row>
    <row r="110" spans="1:10" ht="14.25" customHeight="1" x14ac:dyDescent="0.35">
      <c r="A110">
        <v>109</v>
      </c>
      <c r="B110">
        <v>22109</v>
      </c>
      <c r="C110" t="s">
        <v>152</v>
      </c>
      <c r="D110" t="s">
        <v>153</v>
      </c>
      <c r="E110" s="6" t="s">
        <v>12</v>
      </c>
      <c r="F110" s="26" t="s">
        <v>147</v>
      </c>
      <c r="G110" s="13">
        <v>2</v>
      </c>
      <c r="H110" s="27" t="s">
        <v>109</v>
      </c>
      <c r="I110" t="str">
        <f>IF(H110="Track 2",IFERROR(_xlfn.XLOOKUP("*"&amp;LEFT(C110,FIND(" ",C110&amp;" ")-1)&amp;"*",'[1]Track 2'!$D$1:$D$99,'[1]Track 2'!$A$1:$A$99,,2),IFERROR(_xlfn.XLOOKUP("*"&amp;LEFT(C110,FIND(" ",C110&amp;" ")-1)&amp;"*",'[1]Track 2'!$I$1:$I$99,'[1]Track 2'!$F$1:$F$99,,2),"")),"")</f>
        <v>10.39 – 10.51 hrs</v>
      </c>
      <c r="J110" s="18" t="s">
        <v>670</v>
      </c>
    </row>
    <row r="111" spans="1:10" ht="14.25" customHeight="1" x14ac:dyDescent="0.35">
      <c r="A111">
        <v>110</v>
      </c>
      <c r="B111">
        <v>22110</v>
      </c>
      <c r="C111" t="s">
        <v>58</v>
      </c>
      <c r="D111" t="s">
        <v>119</v>
      </c>
      <c r="E111" s="6" t="s">
        <v>12</v>
      </c>
      <c r="F111" s="26" t="s">
        <v>147</v>
      </c>
      <c r="G111" s="13">
        <v>2</v>
      </c>
      <c r="H111" s="27" t="s">
        <v>109</v>
      </c>
      <c r="I111" t="str">
        <f>IF(H111="Track 2",IFERROR(_xlfn.XLOOKUP("*"&amp;LEFT(C111,FIND(" ",C111&amp;" ")-1)&amp;"*",'[1]Track 2'!$D$1:$D$99,'[1]Track 2'!$A$1:$A$99,,2),IFERROR(_xlfn.XLOOKUP("*"&amp;LEFT(C111,FIND(" ",C111&amp;" ")-1)&amp;"*",'[1]Track 2'!$I$1:$I$99,'[1]Track 2'!$F$1:$F$99,,2),"")),"")</f>
        <v>11.03 – 11.15 hrs</v>
      </c>
      <c r="J111" t="s">
        <v>671</v>
      </c>
    </row>
    <row r="112" spans="1:10" ht="14.25" customHeight="1" x14ac:dyDescent="0.35">
      <c r="A112">
        <v>111</v>
      </c>
      <c r="B112">
        <v>22111</v>
      </c>
      <c r="C112" t="s">
        <v>112</v>
      </c>
      <c r="D112" t="s">
        <v>113</v>
      </c>
      <c r="E112" s="6" t="s">
        <v>12</v>
      </c>
      <c r="F112" s="26" t="s">
        <v>147</v>
      </c>
      <c r="G112" s="13">
        <v>2</v>
      </c>
      <c r="H112" s="27" t="s">
        <v>109</v>
      </c>
      <c r="I112" t="str">
        <f>IF(H112="Track 2",IFERROR(_xlfn.XLOOKUP("*"&amp;LEFT(C112,FIND(" ",C112&amp;" ")-1)&amp;"*",'[1]Track 2'!$D$1:$D$99,'[1]Track 2'!$A$1:$A$99,,2),IFERROR(_xlfn.XLOOKUP("*"&amp;LEFT(C112,FIND(" ",C112&amp;" ")-1)&amp;"*",'[1]Track 2'!$I$1:$I$99,'[1]Track 2'!$F$1:$F$99,,2),"")),"")</f>
        <v>09.00 – 09.12 hrs</v>
      </c>
      <c r="J112" t="s">
        <v>646</v>
      </c>
    </row>
    <row r="113" spans="1:10" ht="14.25" customHeight="1" x14ac:dyDescent="0.35">
      <c r="A113">
        <v>112</v>
      </c>
      <c r="B113">
        <v>22112</v>
      </c>
      <c r="C113" t="s">
        <v>154</v>
      </c>
      <c r="D113" t="s">
        <v>132</v>
      </c>
      <c r="E113" s="6" t="s">
        <v>25</v>
      </c>
      <c r="F113" s="26" t="s">
        <v>155</v>
      </c>
      <c r="G113" s="13">
        <v>2</v>
      </c>
      <c r="H113" s="27" t="s">
        <v>109</v>
      </c>
      <c r="I113" t="str">
        <f>IF(H113="Track 2",IFERROR(_xlfn.XLOOKUP("*"&amp;LEFT(C113,FIND(" ",C113&amp;" ")-1)&amp;"*",'[1]Track 2'!$D$1:$D$99,'[1]Track 2'!$A$1:$A$99,,2),IFERROR(_xlfn.XLOOKUP("*"&amp;LEFT(C113,FIND(" ",C113&amp;" ")-1)&amp;"*",'[1]Track 2'!$I$1:$I$99,'[1]Track 2'!$F$1:$F$99,,2),"")),"")</f>
        <v/>
      </c>
      <c r="J113" s="17" t="s">
        <v>134</v>
      </c>
    </row>
    <row r="114" spans="1:10" ht="14.25" customHeight="1" x14ac:dyDescent="0.35">
      <c r="A114">
        <v>113</v>
      </c>
      <c r="B114">
        <v>22113</v>
      </c>
      <c r="C114" t="s">
        <v>152</v>
      </c>
      <c r="D114" t="s">
        <v>153</v>
      </c>
      <c r="E114" s="6" t="s">
        <v>86</v>
      </c>
      <c r="F114" s="26" t="s">
        <v>155</v>
      </c>
      <c r="G114" s="13">
        <v>2</v>
      </c>
      <c r="H114" s="27" t="s">
        <v>109</v>
      </c>
      <c r="I114" t="str">
        <f>IF(H114="Track 2",IFERROR(_xlfn.XLOOKUP("*"&amp;LEFT(C114,FIND(" ",C114&amp;" ")-1)&amp;"*",'[1]Track 2'!$D$1:$D$99,'[1]Track 2'!$A$1:$A$99,,2),IFERROR(_xlfn.XLOOKUP("*"&amp;LEFT(C114,FIND(" ",C114&amp;" ")-1)&amp;"*",'[1]Track 2'!$I$1:$I$99,'[1]Track 2'!$F$1:$F$99,,2),"")),"")</f>
        <v>10.39 – 10.51 hrs</v>
      </c>
      <c r="J114" s="17" t="s">
        <v>670</v>
      </c>
    </row>
    <row r="115" spans="1:10" ht="14.25" customHeight="1" x14ac:dyDescent="0.35">
      <c r="A115">
        <v>114</v>
      </c>
      <c r="B115">
        <v>22114</v>
      </c>
      <c r="C115" t="s">
        <v>85</v>
      </c>
      <c r="D115" t="s">
        <v>156</v>
      </c>
      <c r="E115" s="6" t="s">
        <v>26</v>
      </c>
      <c r="F115" s="26" t="s">
        <v>155</v>
      </c>
      <c r="G115" s="13">
        <v>2</v>
      </c>
      <c r="H115" s="27" t="s">
        <v>109</v>
      </c>
      <c r="I115" t="str">
        <f>IF(H115="Track 2",IFERROR(_xlfn.XLOOKUP("*"&amp;LEFT(C115,FIND(" ",C115&amp;" ")-1)&amp;"*",'[1]Track 2'!$D$1:$D$99,'[1]Track 2'!$A$1:$A$99,,2),IFERROR(_xlfn.XLOOKUP("*"&amp;LEFT(C115,FIND(" ",C115&amp;" ")-1)&amp;"*",'[1]Track 2'!$I$1:$I$99,'[1]Track 2'!$F$1:$F$99,,2),"")),"")</f>
        <v/>
      </c>
      <c r="J115" s="17" t="s">
        <v>134</v>
      </c>
    </row>
    <row r="116" spans="1:10" ht="14.25" customHeight="1" x14ac:dyDescent="0.35">
      <c r="A116">
        <v>115</v>
      </c>
      <c r="B116">
        <v>22115</v>
      </c>
      <c r="C116" t="s">
        <v>157</v>
      </c>
      <c r="D116" t="s">
        <v>132</v>
      </c>
      <c r="E116" s="6" t="s">
        <v>12</v>
      </c>
      <c r="F116" s="26" t="s">
        <v>155</v>
      </c>
      <c r="G116" s="13">
        <v>2</v>
      </c>
      <c r="H116" s="27" t="s">
        <v>109</v>
      </c>
      <c r="I116" t="str">
        <f>IF(H116="Track 2",IFERROR(_xlfn.XLOOKUP("*"&amp;LEFT(C116,FIND(" ",C116&amp;" ")-1)&amp;"*",'[1]Track 2'!$D$1:$D$99,'[1]Track 2'!$A$1:$A$99,,2),IFERROR(_xlfn.XLOOKUP("*"&amp;LEFT(C116,FIND(" ",C116&amp;" ")-1)&amp;"*",'[1]Track 2'!$I$1:$I$99,'[1]Track 2'!$F$1:$F$99,,2),"")),"")</f>
        <v>11.54 – 12.06 hrs</v>
      </c>
      <c r="J116" s="25" t="s">
        <v>672</v>
      </c>
    </row>
    <row r="117" spans="1:10" ht="14.25" customHeight="1" x14ac:dyDescent="0.35">
      <c r="A117">
        <v>116</v>
      </c>
      <c r="B117">
        <v>22116</v>
      </c>
      <c r="C117" t="s">
        <v>158</v>
      </c>
      <c r="D117" t="s">
        <v>159</v>
      </c>
      <c r="E117" s="6" t="s">
        <v>12</v>
      </c>
      <c r="F117" s="26" t="s">
        <v>155</v>
      </c>
      <c r="G117" s="31">
        <v>2</v>
      </c>
      <c r="H117" s="27" t="s">
        <v>109</v>
      </c>
      <c r="I117" t="str">
        <f>IF(H117="Track 2",IFERROR(_xlfn.XLOOKUP("*"&amp;LEFT(C117,FIND(" ",C117&amp;" ")-1)&amp;"*",'[1]Track 2'!$D$1:$D$99,'[1]Track 2'!$A$1:$A$99,,2),IFERROR(_xlfn.XLOOKUP("*"&amp;LEFT(C117,FIND(" ",C117&amp;" ")-1)&amp;"*",'[1]Track 2'!$I$1:$I$99,'[1]Track 2'!$F$1:$F$99,,2),"")),"")</f>
        <v>12.18 – 12.30 hrs</v>
      </c>
      <c r="J117" s="28" t="s">
        <v>673</v>
      </c>
    </row>
    <row r="118" spans="1:10" ht="14.25" customHeight="1" x14ac:dyDescent="0.35">
      <c r="A118">
        <v>117</v>
      </c>
      <c r="B118">
        <v>22117</v>
      </c>
      <c r="C118" t="s">
        <v>83</v>
      </c>
      <c r="D118" t="s">
        <v>84</v>
      </c>
      <c r="E118" s="6" t="s">
        <v>25</v>
      </c>
      <c r="F118" s="26" t="s">
        <v>160</v>
      </c>
      <c r="G118" s="13">
        <v>2</v>
      </c>
      <c r="H118" s="27" t="s">
        <v>109</v>
      </c>
      <c r="I118" t="str">
        <f>IF(H118="Track 2",IFERROR(_xlfn.XLOOKUP("*"&amp;LEFT(C118,FIND(" ",C118&amp;" ")-1)&amp;"*",'[1]Track 2'!$D$1:$D$99,'[1]Track 2'!$A$1:$A$99,,2),IFERROR(_xlfn.XLOOKUP("*"&amp;LEFT(C118,FIND(" ",C118&amp;" ")-1)&amp;"*",'[1]Track 2'!$I$1:$I$99,'[1]Track 2'!$F$1:$F$99,,2),"")),"")</f>
        <v>11.42 – 11.54 hrs</v>
      </c>
      <c r="J118" t="s">
        <v>674</v>
      </c>
    </row>
    <row r="119" spans="1:10" ht="14.25" customHeight="1" x14ac:dyDescent="0.35">
      <c r="A119">
        <v>118</v>
      </c>
      <c r="B119">
        <v>22118</v>
      </c>
      <c r="C119" t="s">
        <v>161</v>
      </c>
      <c r="D119" t="s">
        <v>39</v>
      </c>
      <c r="E119" s="6" t="s">
        <v>86</v>
      </c>
      <c r="F119" s="26" t="s">
        <v>160</v>
      </c>
      <c r="G119" s="13">
        <v>2</v>
      </c>
      <c r="H119" s="27" t="s">
        <v>109</v>
      </c>
      <c r="I119" t="str">
        <f>IF(H119="Track 2",IFERROR(_xlfn.XLOOKUP("*"&amp;LEFT(C119,FIND(" ",C119&amp;" ")-1)&amp;"*",'[1]Track 2'!$D$1:$D$99,'[1]Track 2'!$A$1:$A$99,,2),IFERROR(_xlfn.XLOOKUP("*"&amp;LEFT(C119,FIND(" ",C119&amp;" ")-1)&amp;"*",'[1]Track 2'!$I$1:$I$99,'[1]Track 2'!$F$1:$F$99,,2),"")),"")</f>
        <v>01.20 – 01.30 hrs</v>
      </c>
      <c r="J119" t="s">
        <v>675</v>
      </c>
    </row>
    <row r="120" spans="1:10" ht="14.25" customHeight="1" x14ac:dyDescent="0.35">
      <c r="A120">
        <v>119</v>
      </c>
      <c r="B120">
        <v>22119</v>
      </c>
      <c r="C120" t="s">
        <v>103</v>
      </c>
      <c r="D120" t="s">
        <v>16</v>
      </c>
      <c r="E120" s="6" t="s">
        <v>26</v>
      </c>
      <c r="F120" s="26" t="s">
        <v>160</v>
      </c>
      <c r="G120" s="13">
        <v>2</v>
      </c>
      <c r="H120" s="27" t="s">
        <v>109</v>
      </c>
      <c r="I120" t="str">
        <f>IF(H120="Track 2",IFERROR(_xlfn.XLOOKUP("*"&amp;LEFT(C120,FIND(" ",C120&amp;" ")-1)&amp;"*",'[1]Track 2'!$D$1:$D$99,'[1]Track 2'!$A$1:$A$99,,2),IFERROR(_xlfn.XLOOKUP("*"&amp;LEFT(C120,FIND(" ",C120&amp;" ")-1)&amp;"*",'[1]Track 2'!$I$1:$I$99,'[1]Track 2'!$F$1:$F$99,,2),"")),"")</f>
        <v>12.50 – 01.00 hrs</v>
      </c>
      <c r="J120" t="s">
        <v>676</v>
      </c>
    </row>
    <row r="121" spans="1:10" ht="14.25" customHeight="1" x14ac:dyDescent="0.35">
      <c r="A121">
        <v>120</v>
      </c>
      <c r="B121">
        <v>22120</v>
      </c>
      <c r="C121" t="s">
        <v>83</v>
      </c>
      <c r="D121" t="s">
        <v>84</v>
      </c>
      <c r="E121" s="6" t="s">
        <v>12</v>
      </c>
      <c r="F121" s="26" t="s">
        <v>160</v>
      </c>
      <c r="G121" s="13">
        <v>2</v>
      </c>
      <c r="H121" s="27" t="s">
        <v>109</v>
      </c>
      <c r="I121" t="str">
        <f>IF(H121="Track 2",IFERROR(_xlfn.XLOOKUP("*"&amp;LEFT(C121,FIND(" ",C121&amp;" ")-1)&amp;"*",'[1]Track 2'!$D$1:$D$99,'[1]Track 2'!$A$1:$A$99,,2),IFERROR(_xlfn.XLOOKUP("*"&amp;LEFT(C121,FIND(" ",C121&amp;" ")-1)&amp;"*",'[1]Track 2'!$I$1:$I$99,'[1]Track 2'!$F$1:$F$99,,2),"")),"")</f>
        <v>11.42 – 11.54 hrs</v>
      </c>
      <c r="J121" t="s">
        <v>674</v>
      </c>
    </row>
    <row r="122" spans="1:10" ht="14.25" customHeight="1" x14ac:dyDescent="0.35">
      <c r="A122">
        <v>121</v>
      </c>
      <c r="B122">
        <v>22121</v>
      </c>
      <c r="C122" t="s">
        <v>103</v>
      </c>
      <c r="D122" t="s">
        <v>16</v>
      </c>
      <c r="E122" s="6" t="s">
        <v>12</v>
      </c>
      <c r="F122" s="26" t="s">
        <v>160</v>
      </c>
      <c r="G122" s="13">
        <v>2</v>
      </c>
      <c r="H122" s="27" t="s">
        <v>109</v>
      </c>
      <c r="I122" t="str">
        <f>IF(H122="Track 2",IFERROR(_xlfn.XLOOKUP("*"&amp;LEFT(C122,FIND(" ",C122&amp;" ")-1)&amp;"*",'[1]Track 2'!$D$1:$D$99,'[1]Track 2'!$A$1:$A$99,,2),IFERROR(_xlfn.XLOOKUP("*"&amp;LEFT(C122,FIND(" ",C122&amp;" ")-1)&amp;"*",'[1]Track 2'!$I$1:$I$99,'[1]Track 2'!$F$1:$F$99,,2),"")),"")</f>
        <v>12.50 – 01.00 hrs</v>
      </c>
      <c r="J122" t="s">
        <v>676</v>
      </c>
    </row>
    <row r="123" spans="1:10" ht="14.25" customHeight="1" x14ac:dyDescent="0.35">
      <c r="A123">
        <v>122</v>
      </c>
      <c r="B123">
        <v>22122</v>
      </c>
      <c r="C123" t="s">
        <v>162</v>
      </c>
      <c r="D123" t="s">
        <v>163</v>
      </c>
      <c r="E123" s="6" t="s">
        <v>12</v>
      </c>
      <c r="F123" s="26" t="s">
        <v>160</v>
      </c>
      <c r="G123" s="13">
        <v>2</v>
      </c>
      <c r="H123" s="27" t="s">
        <v>109</v>
      </c>
      <c r="I123" t="str">
        <f>IF(H123="Track 2",IFERROR(_xlfn.XLOOKUP("*"&amp;LEFT(C123,FIND(" ",C123&amp;" ")-1)&amp;"*",'[1]Track 2'!$D$1:$D$99,'[1]Track 2'!$A$1:$A$99,,2),IFERROR(_xlfn.XLOOKUP("*"&amp;LEFT(C123,FIND(" ",C123&amp;" ")-1)&amp;"*",'[1]Track 2'!$I$1:$I$99,'[1]Track 2'!$F$1:$F$99,,2),"")),"")</f>
        <v>10.15 – 10.27 hrs</v>
      </c>
      <c r="J123" t="s">
        <v>651</v>
      </c>
    </row>
    <row r="124" spans="1:10" ht="14.25" customHeight="1" x14ac:dyDescent="0.35">
      <c r="A124">
        <v>123</v>
      </c>
      <c r="B124">
        <v>22123</v>
      </c>
      <c r="C124" t="s">
        <v>21</v>
      </c>
      <c r="D124" t="s">
        <v>22</v>
      </c>
      <c r="E124" s="6" t="s">
        <v>12</v>
      </c>
      <c r="F124" s="26" t="s">
        <v>160</v>
      </c>
      <c r="G124" s="13">
        <v>2</v>
      </c>
      <c r="H124" s="27" t="s">
        <v>109</v>
      </c>
      <c r="I124" t="str">
        <f>IF(H124="Track 2",IFERROR(_xlfn.XLOOKUP("*"&amp;LEFT(C124,FIND(" ",C124&amp;" ")-1)&amp;"*",'[1]Track 2'!$D$1:$D$99,'[1]Track 2'!$A$1:$A$99,,2),IFERROR(_xlfn.XLOOKUP("*"&amp;LEFT(C124,FIND(" ",C124&amp;" ")-1)&amp;"*",'[1]Track 2'!$I$1:$I$99,'[1]Track 2'!$F$1:$F$99,,2),"")),"")</f>
        <v>10.27 – 10.39 hrs</v>
      </c>
      <c r="J124" t="s">
        <v>669</v>
      </c>
    </row>
    <row r="125" spans="1:10" ht="14.25" customHeight="1" x14ac:dyDescent="0.35">
      <c r="A125">
        <v>124</v>
      </c>
      <c r="B125">
        <v>22124</v>
      </c>
      <c r="C125" t="s">
        <v>161</v>
      </c>
      <c r="D125" t="s">
        <v>39</v>
      </c>
      <c r="E125" s="6" t="s">
        <v>12</v>
      </c>
      <c r="F125" s="26" t="s">
        <v>160</v>
      </c>
      <c r="G125" s="13">
        <v>2</v>
      </c>
      <c r="H125" s="27" t="s">
        <v>109</v>
      </c>
      <c r="I125" t="str">
        <f>IF(H125="Track 2",IFERROR(_xlfn.XLOOKUP("*"&amp;LEFT(C125,FIND(" ",C125&amp;" ")-1)&amp;"*",'[1]Track 2'!$D$1:$D$99,'[1]Track 2'!$A$1:$A$99,,2),IFERROR(_xlfn.XLOOKUP("*"&amp;LEFT(C125,FIND(" ",C125&amp;" ")-1)&amp;"*",'[1]Track 2'!$I$1:$I$99,'[1]Track 2'!$F$1:$F$99,,2),"")),"")</f>
        <v>01.20 – 01.30 hrs</v>
      </c>
      <c r="J125" t="s">
        <v>675</v>
      </c>
    </row>
    <row r="126" spans="1:10" ht="14.4" customHeight="1" x14ac:dyDescent="0.35">
      <c r="A126">
        <v>125</v>
      </c>
      <c r="B126">
        <v>31125</v>
      </c>
      <c r="C126" t="s">
        <v>164</v>
      </c>
      <c r="D126" t="s">
        <v>165</v>
      </c>
      <c r="E126" s="6" t="s">
        <v>12</v>
      </c>
      <c r="F126" s="32" t="s">
        <v>166</v>
      </c>
      <c r="G126" s="19">
        <v>1</v>
      </c>
      <c r="H126" s="33" t="s">
        <v>167</v>
      </c>
      <c r="I126" t="str">
        <f>IF(H126="Track 3",IFERROR(_xlfn.XLOOKUP("*"&amp;LEFT(C126,FIND(" ",C126&amp;" ")-1)&amp;"*",'[1]Track 3'!$D$1:$D$99,'[1]Track 3'!$A$1:$A$99,,2),IFERROR(_xlfn.XLOOKUP("*"&amp;LEFT(C126,FIND(" ",C126&amp;" ")-1)&amp;"*",'[1]Track 3'!$I$1:$I$99,'[1]Track 3'!$F$1:$F$99,,2),"")),"")</f>
        <v>9:00-9:10</v>
      </c>
      <c r="J126" s="34" t="s">
        <v>677</v>
      </c>
    </row>
    <row r="127" spans="1:10" ht="14.25" customHeight="1" x14ac:dyDescent="0.35">
      <c r="A127">
        <v>126</v>
      </c>
      <c r="B127">
        <v>31126</v>
      </c>
      <c r="C127" t="s">
        <v>89</v>
      </c>
      <c r="D127" t="s">
        <v>18</v>
      </c>
      <c r="E127" s="6" t="s">
        <v>12</v>
      </c>
      <c r="F127" s="32" t="s">
        <v>166</v>
      </c>
      <c r="G127" s="19">
        <v>1</v>
      </c>
      <c r="H127" s="33" t="s">
        <v>167</v>
      </c>
      <c r="I127" t="str">
        <f>IF(H127="Track 3",IFERROR(_xlfn.XLOOKUP("*"&amp;LEFT(C127,FIND(" ",C127&amp;" ")-1)&amp;"*",'[1]Track 3'!$D$1:$D$99,'[1]Track 3'!$A$1:$A$99,,2),IFERROR(_xlfn.XLOOKUP("*"&amp;LEFT(C127,FIND(" ",C127&amp;" ")-1)&amp;"*",'[1]Track 3'!$I$1:$I$99,'[1]Track 3'!$F$1:$F$99,,2),"")),"")</f>
        <v>9:10-9:20</v>
      </c>
      <c r="J127" t="s">
        <v>678</v>
      </c>
    </row>
    <row r="128" spans="1:10" ht="14.25" customHeight="1" x14ac:dyDescent="0.35">
      <c r="A128">
        <v>127</v>
      </c>
      <c r="B128">
        <v>31127</v>
      </c>
      <c r="C128" t="s">
        <v>152</v>
      </c>
      <c r="D128" t="s">
        <v>153</v>
      </c>
      <c r="E128" s="6" t="s">
        <v>12</v>
      </c>
      <c r="F128" s="32" t="s">
        <v>166</v>
      </c>
      <c r="G128" s="19">
        <v>1</v>
      </c>
      <c r="H128" s="33" t="s">
        <v>167</v>
      </c>
      <c r="I128" t="str">
        <f>IF(H128="Track 3",IFERROR(_xlfn.XLOOKUP("*"&amp;LEFT(C128,FIND(" ",C128&amp;" ")-1)&amp;"*",'[1]Track 3'!$D$1:$D$99,'[1]Track 3'!$A$1:$A$99,,2),IFERROR(_xlfn.XLOOKUP("*"&amp;LEFT(C128,FIND(" ",C128&amp;" ")-1)&amp;"*",'[1]Track 3'!$I$1:$I$99,'[1]Track 3'!$F$1:$F$99,,2),"")),"")</f>
        <v>9:20-9:30</v>
      </c>
      <c r="J128" t="s">
        <v>679</v>
      </c>
    </row>
    <row r="129" spans="1:10" ht="14.25" customHeight="1" x14ac:dyDescent="0.35">
      <c r="A129">
        <v>128</v>
      </c>
      <c r="B129">
        <v>31128</v>
      </c>
      <c r="C129" t="s">
        <v>168</v>
      </c>
      <c r="D129" t="s">
        <v>169</v>
      </c>
      <c r="E129" s="6" t="s">
        <v>12</v>
      </c>
      <c r="F129" s="32" t="s">
        <v>166</v>
      </c>
      <c r="G129" s="19">
        <v>1</v>
      </c>
      <c r="H129" s="33" t="s">
        <v>167</v>
      </c>
      <c r="I129" t="str">
        <f>IF(H129="Track 3",IFERROR(_xlfn.XLOOKUP("*"&amp;LEFT(C129,FIND(" ",C129&amp;" ")-1)&amp;"*",'[1]Track 3'!$D$1:$D$99,'[1]Track 3'!$A$1:$A$99,,2),IFERROR(_xlfn.XLOOKUP("*"&amp;LEFT(C129,FIND(" ",C129&amp;" ")-1)&amp;"*",'[1]Track 3'!$I$1:$I$99,'[1]Track 3'!$F$1:$F$99,,2),"")),"")</f>
        <v/>
      </c>
      <c r="J129" t="s">
        <v>134</v>
      </c>
    </row>
    <row r="130" spans="1:10" ht="14.25" customHeight="1" x14ac:dyDescent="0.35">
      <c r="A130">
        <v>129</v>
      </c>
      <c r="B130">
        <v>31129</v>
      </c>
      <c r="C130" t="s">
        <v>168</v>
      </c>
      <c r="D130" t="s">
        <v>129</v>
      </c>
      <c r="E130" s="6" t="s">
        <v>12</v>
      </c>
      <c r="F130" s="32" t="s">
        <v>166</v>
      </c>
      <c r="G130" s="19">
        <v>1</v>
      </c>
      <c r="H130" s="33" t="s">
        <v>167</v>
      </c>
      <c r="I130" t="str">
        <f>IF(H130="Track 3",IFERROR(_xlfn.XLOOKUP("*"&amp;LEFT(C130,FIND(" ",C130&amp;" ")-1)&amp;"*",'[1]Track 3'!$D$1:$D$99,'[1]Track 3'!$A$1:$A$99,,2),IFERROR(_xlfn.XLOOKUP("*"&amp;LEFT(C130,FIND(" ",C130&amp;" ")-1)&amp;"*",'[1]Track 3'!$I$1:$I$99,'[1]Track 3'!$F$1:$F$99,,2),"")),"")</f>
        <v/>
      </c>
      <c r="J130" t="s">
        <v>134</v>
      </c>
    </row>
    <row r="131" spans="1:10" ht="14.25" customHeight="1" x14ac:dyDescent="0.35">
      <c r="A131">
        <v>130</v>
      </c>
      <c r="B131">
        <v>31130</v>
      </c>
      <c r="C131" t="s">
        <v>168</v>
      </c>
      <c r="D131" t="s">
        <v>170</v>
      </c>
      <c r="E131" s="6" t="s">
        <v>12</v>
      </c>
      <c r="F131" s="32" t="s">
        <v>166</v>
      </c>
      <c r="G131" s="19">
        <v>1</v>
      </c>
      <c r="H131" s="33" t="s">
        <v>167</v>
      </c>
      <c r="I131" t="str">
        <f>IF(H131="Track 3",IFERROR(_xlfn.XLOOKUP("*"&amp;LEFT(C131,FIND(" ",C131&amp;" ")-1)&amp;"*",'[1]Track 3'!$D$1:$D$99,'[1]Track 3'!$A$1:$A$99,,2),IFERROR(_xlfn.XLOOKUP("*"&amp;LEFT(C131,FIND(" ",C131&amp;" ")-1)&amp;"*",'[1]Track 3'!$I$1:$I$99,'[1]Track 3'!$F$1:$F$99,,2),"")),"")</f>
        <v/>
      </c>
      <c r="J131" t="s">
        <v>134</v>
      </c>
    </row>
    <row r="132" spans="1:10" ht="14.25" customHeight="1" x14ac:dyDescent="0.35">
      <c r="A132">
        <v>131</v>
      </c>
      <c r="B132">
        <v>31131</v>
      </c>
      <c r="C132" t="s">
        <v>89</v>
      </c>
      <c r="D132" t="s">
        <v>18</v>
      </c>
      <c r="E132" s="6" t="s">
        <v>25</v>
      </c>
      <c r="F132" s="32" t="s">
        <v>166</v>
      </c>
      <c r="G132" s="19">
        <v>1</v>
      </c>
      <c r="H132" s="33" t="s">
        <v>167</v>
      </c>
      <c r="I132" t="str">
        <f>IF(H132="Track 3",IFERROR(_xlfn.XLOOKUP("*"&amp;LEFT(C132,FIND(" ",C132&amp;" ")-1)&amp;"*",'[1]Track 3'!$D$1:$D$99,'[1]Track 3'!$A$1:$A$99,,2),IFERROR(_xlfn.XLOOKUP("*"&amp;LEFT(C132,FIND(" ",C132&amp;" ")-1)&amp;"*",'[1]Track 3'!$I$1:$I$99,'[1]Track 3'!$F$1:$F$99,,2),"")),"")</f>
        <v>9:10-9:20</v>
      </c>
      <c r="J132" t="s">
        <v>678</v>
      </c>
    </row>
    <row r="133" spans="1:10" ht="14.25" customHeight="1" x14ac:dyDescent="0.35">
      <c r="A133">
        <v>132</v>
      </c>
      <c r="B133">
        <v>31132</v>
      </c>
      <c r="C133" t="s">
        <v>122</v>
      </c>
      <c r="D133" t="s">
        <v>75</v>
      </c>
      <c r="E133" s="6" t="s">
        <v>86</v>
      </c>
      <c r="F133" s="32" t="s">
        <v>166</v>
      </c>
      <c r="G133" s="19">
        <v>1</v>
      </c>
      <c r="H133" s="33" t="s">
        <v>167</v>
      </c>
      <c r="I133" t="str">
        <f>IF(H133="Track 3",IFERROR(_xlfn.XLOOKUP("*"&amp;LEFT(C133,FIND(" ",C133&amp;" ")-1)&amp;"*",'[1]Track 3'!$D$1:$D$99,'[1]Track 3'!$A$1:$A$99,,2),IFERROR(_xlfn.XLOOKUP("*"&amp;LEFT(C133,FIND(" ",C133&amp;" ")-1)&amp;"*",'[1]Track 3'!$I$1:$I$99,'[1]Track 3'!$F$1:$F$99,,2),"")),"")</f>
        <v>11:50-12:00</v>
      </c>
      <c r="J133" t="s">
        <v>680</v>
      </c>
    </row>
    <row r="134" spans="1:10" ht="14.25" customHeight="1" x14ac:dyDescent="0.35">
      <c r="A134">
        <v>133</v>
      </c>
      <c r="B134">
        <v>31133</v>
      </c>
      <c r="C134" t="s">
        <v>123</v>
      </c>
      <c r="D134" t="s">
        <v>171</v>
      </c>
      <c r="E134" s="6" t="s">
        <v>26</v>
      </c>
      <c r="F134" s="32" t="s">
        <v>166</v>
      </c>
      <c r="G134" s="19">
        <v>1</v>
      </c>
      <c r="H134" s="33" t="s">
        <v>167</v>
      </c>
      <c r="I134" t="str">
        <f>IF(H134="Track 3",IFERROR(_xlfn.XLOOKUP("*"&amp;LEFT(C134,FIND(" ",C134&amp;" ")-1)&amp;"*",'[1]Track 3'!$D$1:$D$99,'[1]Track 3'!$A$1:$A$99,,2),IFERROR(_xlfn.XLOOKUP("*"&amp;LEFT(C134,FIND(" ",C134&amp;" ")-1)&amp;"*",'[1]Track 3'!$I$1:$I$99,'[1]Track 3'!$F$1:$F$99,,2),"")),"")</f>
        <v/>
      </c>
      <c r="J134" t="s">
        <v>134</v>
      </c>
    </row>
    <row r="135" spans="1:10" ht="14.25" customHeight="1" x14ac:dyDescent="0.35">
      <c r="A135">
        <v>134</v>
      </c>
      <c r="B135">
        <v>31134</v>
      </c>
      <c r="C135" t="s">
        <v>172</v>
      </c>
      <c r="D135" t="s">
        <v>53</v>
      </c>
      <c r="E135" s="6" t="s">
        <v>25</v>
      </c>
      <c r="F135" s="32" t="s">
        <v>173</v>
      </c>
      <c r="G135" s="19">
        <v>1</v>
      </c>
      <c r="H135" s="33" t="s">
        <v>167</v>
      </c>
      <c r="I135" t="str">
        <f>IF(H135="Track 3",IFERROR(_xlfn.XLOOKUP("*"&amp;LEFT(C135,FIND(" ",C135&amp;" ")-1)&amp;"*",'[1]Track 3'!$D$1:$D$99,'[1]Track 3'!$A$1:$A$99,,2),IFERROR(_xlfn.XLOOKUP("*"&amp;LEFT(C135,FIND(" ",C135&amp;" ")-1)&amp;"*",'[1]Track 3'!$I$1:$I$99,'[1]Track 3'!$F$1:$F$99,,2),"")),"")</f>
        <v>9:20-9:30</v>
      </c>
      <c r="J135" s="12" t="s">
        <v>679</v>
      </c>
    </row>
    <row r="136" spans="1:10" ht="14.25" customHeight="1" x14ac:dyDescent="0.35">
      <c r="A136">
        <v>135</v>
      </c>
      <c r="B136">
        <v>31135</v>
      </c>
      <c r="C136" t="s">
        <v>174</v>
      </c>
      <c r="D136" t="s">
        <v>73</v>
      </c>
      <c r="E136" s="6" t="s">
        <v>86</v>
      </c>
      <c r="F136" s="32" t="s">
        <v>173</v>
      </c>
      <c r="G136" s="19">
        <v>1</v>
      </c>
      <c r="H136" s="33" t="s">
        <v>167</v>
      </c>
      <c r="I136" t="str">
        <f>IF(H136="Track 3",IFERROR(_xlfn.XLOOKUP("*"&amp;LEFT(C136,FIND(" ",C136&amp;" ")-1)&amp;"*",'[1]Track 3'!$D$1:$D$99,'[1]Track 3'!$A$1:$A$99,,2),IFERROR(_xlfn.XLOOKUP("*"&amp;LEFT(C136,FIND(" ",C136&amp;" ")-1)&amp;"*",'[1]Track 3'!$I$1:$I$99,'[1]Track 3'!$F$1:$F$99,,2),"")),"")</f>
        <v>10:30-11:15</v>
      </c>
      <c r="J136" s="12" t="s">
        <v>681</v>
      </c>
    </row>
    <row r="137" spans="1:10" ht="14.25" customHeight="1" x14ac:dyDescent="0.35">
      <c r="A137">
        <v>136</v>
      </c>
      <c r="B137">
        <v>31136</v>
      </c>
      <c r="C137" t="s">
        <v>175</v>
      </c>
      <c r="D137" t="s">
        <v>176</v>
      </c>
      <c r="E137" s="6" t="s">
        <v>26</v>
      </c>
      <c r="F137" s="32" t="s">
        <v>173</v>
      </c>
      <c r="G137" s="19">
        <v>1</v>
      </c>
      <c r="H137" s="33" t="s">
        <v>167</v>
      </c>
      <c r="I137" t="str">
        <f>IF(H137="Track 3",IFERROR(_xlfn.XLOOKUP("*"&amp;LEFT(C137,FIND(" ",C137&amp;" ")-1)&amp;"*",'[1]Track 3'!$D$1:$D$99,'[1]Track 3'!$A$1:$A$99,,2),IFERROR(_xlfn.XLOOKUP("*"&amp;LEFT(C137,FIND(" ",C137&amp;" ")-1)&amp;"*",'[1]Track 3'!$I$1:$I$99,'[1]Track 3'!$F$1:$F$99,,2),"")),"")</f>
        <v>12:40-12:50</v>
      </c>
      <c r="J137" s="12" t="s">
        <v>682</v>
      </c>
    </row>
    <row r="138" spans="1:10" ht="14.25" customHeight="1" x14ac:dyDescent="0.35">
      <c r="A138">
        <v>137</v>
      </c>
      <c r="B138">
        <v>31137</v>
      </c>
      <c r="C138" t="s">
        <v>172</v>
      </c>
      <c r="D138" t="s">
        <v>53</v>
      </c>
      <c r="E138" s="6" t="s">
        <v>12</v>
      </c>
      <c r="F138" s="32" t="s">
        <v>173</v>
      </c>
      <c r="G138" s="19">
        <v>1</v>
      </c>
      <c r="H138" s="33" t="s">
        <v>167</v>
      </c>
      <c r="I138" t="str">
        <f>IF(H138="Track 3",IFERROR(_xlfn.XLOOKUP("*"&amp;LEFT(C138,FIND(" ",C138&amp;" ")-1)&amp;"*",'[1]Track 3'!$D$1:$D$99,'[1]Track 3'!$A$1:$A$99,,2),IFERROR(_xlfn.XLOOKUP("*"&amp;LEFT(C138,FIND(" ",C138&amp;" ")-1)&amp;"*",'[1]Track 3'!$I$1:$I$99,'[1]Track 3'!$F$1:$F$99,,2),"")),"")</f>
        <v>9:20-9:30</v>
      </c>
      <c r="J138" s="12" t="s">
        <v>679</v>
      </c>
    </row>
    <row r="139" spans="1:10" ht="14.25" customHeight="1" x14ac:dyDescent="0.35">
      <c r="A139">
        <v>138</v>
      </c>
      <c r="B139">
        <v>31138</v>
      </c>
      <c r="C139" t="s">
        <v>177</v>
      </c>
      <c r="D139" t="s">
        <v>31</v>
      </c>
      <c r="E139" s="6" t="s">
        <v>92</v>
      </c>
      <c r="F139" s="32" t="s">
        <v>173</v>
      </c>
      <c r="G139" s="19">
        <v>1</v>
      </c>
      <c r="H139" s="33" t="s">
        <v>167</v>
      </c>
      <c r="I139" t="str">
        <f>IF(H139="Track 3",IFERROR(_xlfn.XLOOKUP("*"&amp;LEFT(C139,FIND(" ",C139&amp;" ")-1)&amp;"*",'[1]Track 3'!$D$1:$D$99,'[1]Track 3'!$A$1:$A$99,,2),IFERROR(_xlfn.XLOOKUP("*"&amp;LEFT(C139,FIND(" ",C139&amp;" ")-1)&amp;"*",'[1]Track 3'!$I$1:$I$99,'[1]Track 3'!$F$1:$F$99,,2),"")),"")</f>
        <v>10:30-11:15</v>
      </c>
      <c r="J139" s="12" t="s">
        <v>681</v>
      </c>
    </row>
    <row r="140" spans="1:10" ht="14.25" customHeight="1" x14ac:dyDescent="0.35">
      <c r="A140">
        <v>139</v>
      </c>
      <c r="B140">
        <v>31139</v>
      </c>
      <c r="C140" t="s">
        <v>178</v>
      </c>
      <c r="D140" t="s">
        <v>65</v>
      </c>
      <c r="E140" s="6" t="s">
        <v>12</v>
      </c>
      <c r="F140" s="32" t="s">
        <v>173</v>
      </c>
      <c r="G140" s="19">
        <v>1</v>
      </c>
      <c r="H140" s="33" t="s">
        <v>167</v>
      </c>
      <c r="I140" t="str">
        <f>IF(H140="Track 3",IFERROR(_xlfn.XLOOKUP("*"&amp;LEFT(C140,FIND(" ",C140&amp;" ")-1)&amp;"*",'[1]Track 3'!$D$1:$D$99,'[1]Track 3'!$A$1:$A$99,,2),IFERROR(_xlfn.XLOOKUP("*"&amp;LEFT(C140,FIND(" ",C140&amp;" ")-1)&amp;"*",'[1]Track 3'!$I$1:$I$99,'[1]Track 3'!$F$1:$F$99,,2),"")),"")</f>
        <v>10:30-11:15</v>
      </c>
      <c r="J140" s="12" t="s">
        <v>681</v>
      </c>
    </row>
    <row r="141" spans="1:10" ht="14.25" customHeight="1" x14ac:dyDescent="0.35">
      <c r="A141">
        <v>140</v>
      </c>
      <c r="B141">
        <v>31140</v>
      </c>
      <c r="C141" t="s">
        <v>179</v>
      </c>
      <c r="D141" t="s">
        <v>18</v>
      </c>
      <c r="E141" s="6" t="s">
        <v>92</v>
      </c>
      <c r="F141" s="32" t="s">
        <v>173</v>
      </c>
      <c r="G141" s="19">
        <v>1</v>
      </c>
      <c r="H141" s="33" t="s">
        <v>167</v>
      </c>
      <c r="I141" t="str">
        <f>IF(H141="Track 3",IFERROR(_xlfn.XLOOKUP("*"&amp;LEFT(C141,FIND(" ",C141&amp;" ")-1)&amp;"*",'[1]Track 3'!$D$1:$D$99,'[1]Track 3'!$A$1:$A$99,,2),IFERROR(_xlfn.XLOOKUP("*"&amp;LEFT(C141,FIND(" ",C141&amp;" ")-1)&amp;"*",'[1]Track 3'!$I$1:$I$99,'[1]Track 3'!$F$1:$F$99,,2),"")),"")</f>
        <v>10:30-11:15</v>
      </c>
      <c r="J141" s="12" t="s">
        <v>681</v>
      </c>
    </row>
    <row r="142" spans="1:10" ht="14.25" customHeight="1" x14ac:dyDescent="0.35">
      <c r="A142">
        <v>141</v>
      </c>
      <c r="B142">
        <v>31141</v>
      </c>
      <c r="C142" t="s">
        <v>180</v>
      </c>
      <c r="D142" t="s">
        <v>181</v>
      </c>
      <c r="E142" s="6" t="s">
        <v>92</v>
      </c>
      <c r="F142" s="32" t="s">
        <v>173</v>
      </c>
      <c r="G142" s="19">
        <v>1</v>
      </c>
      <c r="H142" s="33" t="s">
        <v>167</v>
      </c>
      <c r="I142" t="str">
        <f>IF(H142="Track 3",IFERROR(_xlfn.XLOOKUP("*"&amp;LEFT(C142,FIND(" ",C142&amp;" ")-1)&amp;"*",'[1]Track 3'!$D$1:$D$99,'[1]Track 3'!$A$1:$A$99,,2),IFERROR(_xlfn.XLOOKUP("*"&amp;LEFT(C142,FIND(" ",C142&amp;" ")-1)&amp;"*",'[1]Track 3'!$I$1:$I$99,'[1]Track 3'!$F$1:$F$99,,2),"")),"")</f>
        <v>10:30-11:15</v>
      </c>
      <c r="J142" s="12" t="s">
        <v>681</v>
      </c>
    </row>
    <row r="143" spans="1:10" ht="14.25" customHeight="1" x14ac:dyDescent="0.35">
      <c r="A143">
        <v>142</v>
      </c>
      <c r="B143">
        <v>31142</v>
      </c>
      <c r="C143" t="s">
        <v>182</v>
      </c>
      <c r="D143" t="s">
        <v>183</v>
      </c>
      <c r="E143" s="6" t="s">
        <v>25</v>
      </c>
      <c r="F143" s="32" t="s">
        <v>184</v>
      </c>
      <c r="G143" s="19">
        <v>1</v>
      </c>
      <c r="H143" s="33" t="s">
        <v>167</v>
      </c>
      <c r="I143" t="str">
        <f>IF(H143="Track 3",IFERROR(_xlfn.XLOOKUP("*"&amp;LEFT(C143,FIND(" ",C143&amp;" ")-1)&amp;"*",'[1]Track 3'!$D$1:$D$99,'[1]Track 3'!$A$1:$A$99,,2),IFERROR(_xlfn.XLOOKUP("*"&amp;LEFT(C143,FIND(" ",C143&amp;" ")-1)&amp;"*",'[1]Track 3'!$I$1:$I$99,'[1]Track 3'!$F$1:$F$99,,2),"")),"")</f>
        <v>11:30-11:45</v>
      </c>
      <c r="J143" s="35" t="s">
        <v>683</v>
      </c>
    </row>
    <row r="144" spans="1:10" ht="14.25" customHeight="1" x14ac:dyDescent="0.35">
      <c r="A144">
        <v>143</v>
      </c>
      <c r="B144">
        <v>31143</v>
      </c>
      <c r="C144" t="s">
        <v>185</v>
      </c>
      <c r="D144" t="s">
        <v>169</v>
      </c>
      <c r="E144" s="6" t="s">
        <v>86</v>
      </c>
      <c r="F144" s="32" t="s">
        <v>184</v>
      </c>
      <c r="G144" s="19">
        <v>1</v>
      </c>
      <c r="H144" s="33" t="s">
        <v>167</v>
      </c>
      <c r="I144" t="str">
        <f>IF(H144="Track 3",IFERROR(_xlfn.XLOOKUP("*"&amp;LEFT(C144,FIND(" ",C144&amp;" ")-1)&amp;"*",'[1]Track 3'!$D$1:$D$99,'[1]Track 3'!$A$1:$A$99,,2),IFERROR(_xlfn.XLOOKUP("*"&amp;LEFT(C144,FIND(" ",C144&amp;" ")-1)&amp;"*",'[1]Track 3'!$I$1:$I$99,'[1]Track 3'!$F$1:$F$99,,2),"")),"")</f>
        <v>11:55-12:05</v>
      </c>
      <c r="J144" s="35" t="s">
        <v>684</v>
      </c>
    </row>
    <row r="145" spans="1:10" ht="14.25" customHeight="1" x14ac:dyDescent="0.35">
      <c r="A145">
        <v>144</v>
      </c>
      <c r="B145">
        <v>31144</v>
      </c>
      <c r="C145" s="13" t="s">
        <v>44</v>
      </c>
      <c r="D145" t="s">
        <v>39</v>
      </c>
      <c r="E145" s="6" t="s">
        <v>26</v>
      </c>
      <c r="F145" s="32" t="s">
        <v>184</v>
      </c>
      <c r="G145" s="19">
        <v>1</v>
      </c>
      <c r="H145" s="33" t="s">
        <v>167</v>
      </c>
      <c r="I145" t="str">
        <f>IF(H145="Track 3",IFERROR(_xlfn.XLOOKUP("*"&amp;LEFT(C145,FIND(" ",C145&amp;" ")-1)&amp;"*",'[1]Track 3'!$D$1:$D$99,'[1]Track 3'!$A$1:$A$99,,2),IFERROR(_xlfn.XLOOKUP("*"&amp;LEFT(C145,FIND(" ",C145&amp;" ")-1)&amp;"*",'[1]Track 3'!$I$1:$I$99,'[1]Track 3'!$F$1:$F$99,,2),"")),"")</f>
        <v>12:15-12:25</v>
      </c>
      <c r="J145" s="35" t="s">
        <v>685</v>
      </c>
    </row>
    <row r="146" spans="1:10" ht="14.25" customHeight="1" x14ac:dyDescent="0.35">
      <c r="A146">
        <v>145</v>
      </c>
      <c r="B146">
        <v>31145</v>
      </c>
      <c r="C146" t="s">
        <v>182</v>
      </c>
      <c r="D146" t="s">
        <v>183</v>
      </c>
      <c r="E146" s="6" t="s">
        <v>12</v>
      </c>
      <c r="F146" s="32" t="s">
        <v>184</v>
      </c>
      <c r="G146" s="19">
        <v>1</v>
      </c>
      <c r="H146" s="33" t="s">
        <v>167</v>
      </c>
      <c r="I146" t="str">
        <f>IF(H146="Track 3",IFERROR(_xlfn.XLOOKUP("*"&amp;LEFT(C146,FIND(" ",C146&amp;" ")-1)&amp;"*",'[1]Track 3'!$D$1:$D$99,'[1]Track 3'!$A$1:$A$99,,2),IFERROR(_xlfn.XLOOKUP("*"&amp;LEFT(C146,FIND(" ",C146&amp;" ")-1)&amp;"*",'[1]Track 3'!$I$1:$I$99,'[1]Track 3'!$F$1:$F$99,,2),"")),"")</f>
        <v>11:30-11:45</v>
      </c>
      <c r="J146" s="35" t="s">
        <v>683</v>
      </c>
    </row>
    <row r="147" spans="1:10" ht="14.25" customHeight="1" x14ac:dyDescent="0.35">
      <c r="A147">
        <v>146</v>
      </c>
      <c r="B147">
        <v>31146</v>
      </c>
      <c r="C147" t="s">
        <v>149</v>
      </c>
      <c r="D147" t="s">
        <v>150</v>
      </c>
      <c r="E147" s="6" t="s">
        <v>12</v>
      </c>
      <c r="F147" s="32" t="s">
        <v>184</v>
      </c>
      <c r="G147" s="19">
        <v>1</v>
      </c>
      <c r="H147" s="33" t="s">
        <v>167</v>
      </c>
      <c r="I147" t="str">
        <f>IF(H147="Track 3",IFERROR(_xlfn.XLOOKUP("*"&amp;LEFT(C147,FIND(" ",C147&amp;" ")-1)&amp;"*",'[1]Track 3'!$D$1:$D$99,'[1]Track 3'!$A$1:$A$99,,2),IFERROR(_xlfn.XLOOKUP("*"&amp;LEFT(C147,FIND(" ",C147&amp;" ")-1)&amp;"*",'[1]Track 3'!$I$1:$I$99,'[1]Track 3'!$F$1:$F$99,,2),"")),"")</f>
        <v>11:45-11:55</v>
      </c>
      <c r="J147" s="35" t="s">
        <v>686</v>
      </c>
    </row>
    <row r="148" spans="1:10" ht="14.25" customHeight="1" x14ac:dyDescent="0.35">
      <c r="A148">
        <v>147</v>
      </c>
      <c r="B148">
        <v>31147</v>
      </c>
      <c r="C148" t="s">
        <v>185</v>
      </c>
      <c r="D148" t="s">
        <v>169</v>
      </c>
      <c r="E148" s="6" t="s">
        <v>12</v>
      </c>
      <c r="F148" s="32" t="s">
        <v>184</v>
      </c>
      <c r="G148" s="19">
        <v>1</v>
      </c>
      <c r="H148" s="33" t="s">
        <v>167</v>
      </c>
      <c r="I148" t="str">
        <f>IF(H148="Track 3",IFERROR(_xlfn.XLOOKUP("*"&amp;LEFT(C148,FIND(" ",C148&amp;" ")-1)&amp;"*",'[1]Track 3'!$D$1:$D$99,'[1]Track 3'!$A$1:$A$99,,2),IFERROR(_xlfn.XLOOKUP("*"&amp;LEFT(C148,FIND(" ",C148&amp;" ")-1)&amp;"*",'[1]Track 3'!$I$1:$I$99,'[1]Track 3'!$F$1:$F$99,,2),"")),"")</f>
        <v>11:55-12:05</v>
      </c>
      <c r="J148" s="35" t="s">
        <v>684</v>
      </c>
    </row>
    <row r="149" spans="1:10" ht="14.25" customHeight="1" x14ac:dyDescent="0.35">
      <c r="A149">
        <v>148</v>
      </c>
      <c r="B149">
        <v>31148</v>
      </c>
      <c r="C149" t="s">
        <v>186</v>
      </c>
      <c r="D149" t="s">
        <v>94</v>
      </c>
      <c r="E149" s="6" t="s">
        <v>12</v>
      </c>
      <c r="F149" s="32" t="s">
        <v>184</v>
      </c>
      <c r="G149" s="19">
        <v>1</v>
      </c>
      <c r="H149" s="33" t="s">
        <v>167</v>
      </c>
      <c r="I149" t="str">
        <f>IF(H149="Track 3",IFERROR(_xlfn.XLOOKUP("*"&amp;LEFT(C149,FIND(" ",C149&amp;" ")-1)&amp;"*",'[1]Track 3'!$D$1:$D$99,'[1]Track 3'!$A$1:$A$99,,2),IFERROR(_xlfn.XLOOKUP("*"&amp;LEFT(C149,FIND(" ",C149&amp;" ")-1)&amp;"*",'[1]Track 3'!$I$1:$I$99,'[1]Track 3'!$F$1:$F$99,,2),"")),"")</f>
        <v>12:05-12:15</v>
      </c>
      <c r="J149" s="35" t="s">
        <v>687</v>
      </c>
    </row>
    <row r="150" spans="1:10" ht="14.25" customHeight="1" x14ac:dyDescent="0.35">
      <c r="A150">
        <v>149</v>
      </c>
      <c r="B150">
        <v>31149</v>
      </c>
      <c r="C150" s="13" t="s">
        <v>44</v>
      </c>
      <c r="D150" t="s">
        <v>39</v>
      </c>
      <c r="E150" s="6" t="s">
        <v>12</v>
      </c>
      <c r="F150" s="32" t="s">
        <v>184</v>
      </c>
      <c r="G150" s="19">
        <v>1</v>
      </c>
      <c r="H150" s="33" t="s">
        <v>167</v>
      </c>
      <c r="I150" t="str">
        <f>IF(H150="Track 3",IFERROR(_xlfn.XLOOKUP("*"&amp;LEFT(C150,FIND(" ",C150&amp;" ")-1)&amp;"*",'[1]Track 3'!$D$1:$D$99,'[1]Track 3'!$A$1:$A$99,,2),IFERROR(_xlfn.XLOOKUP("*"&amp;LEFT(C150,FIND(" ",C150&amp;" ")-1)&amp;"*",'[1]Track 3'!$I$1:$I$99,'[1]Track 3'!$F$1:$F$99,,2),"")),"")</f>
        <v>12:15-12:25</v>
      </c>
      <c r="J150" s="35" t="s">
        <v>685</v>
      </c>
    </row>
    <row r="151" spans="1:10" ht="14.25" customHeight="1" x14ac:dyDescent="0.35">
      <c r="A151">
        <v>150</v>
      </c>
      <c r="B151">
        <v>31150</v>
      </c>
      <c r="C151" t="s">
        <v>187</v>
      </c>
      <c r="D151" t="s">
        <v>188</v>
      </c>
      <c r="E151" s="6" t="s">
        <v>25</v>
      </c>
      <c r="F151" s="26" t="s">
        <v>189</v>
      </c>
      <c r="G151" s="19">
        <v>1</v>
      </c>
      <c r="H151" s="33" t="s">
        <v>167</v>
      </c>
      <c r="I151" t="str">
        <f>IF(H151="Track 3",IFERROR(_xlfn.XLOOKUP("*"&amp;LEFT(C151,FIND(" ",C151&amp;" ")-1)&amp;"*",'[1]Track 3'!$D$1:$D$99,'[1]Track 3'!$A$1:$A$99,,2),IFERROR(_xlfn.XLOOKUP("*"&amp;LEFT(C151,FIND(" ",C151&amp;" ")-1)&amp;"*",'[1]Track 3'!$I$1:$I$99,'[1]Track 3'!$F$1:$F$99,,2),"")),"")</f>
        <v>12:40-12:50</v>
      </c>
      <c r="J151" t="s">
        <v>688</v>
      </c>
    </row>
    <row r="152" spans="1:10" ht="14.25" customHeight="1" x14ac:dyDescent="0.35">
      <c r="A152">
        <v>151</v>
      </c>
      <c r="B152">
        <v>31151</v>
      </c>
      <c r="C152" t="s">
        <v>190</v>
      </c>
      <c r="D152" t="s">
        <v>191</v>
      </c>
      <c r="E152" s="6" t="s">
        <v>86</v>
      </c>
      <c r="F152" s="26" t="s">
        <v>189</v>
      </c>
      <c r="G152" s="19">
        <v>1</v>
      </c>
      <c r="H152" s="33" t="s">
        <v>167</v>
      </c>
      <c r="I152" t="str">
        <f>IF(H152="Track 3",IFERROR(_xlfn.XLOOKUP("*"&amp;LEFT(C152,FIND(" ",C152&amp;" ")-1)&amp;"*",'[1]Track 3'!$D$1:$D$99,'[1]Track 3'!$A$1:$A$99,,2),IFERROR(_xlfn.XLOOKUP("*"&amp;LEFT(C152,FIND(" ",C152&amp;" ")-1)&amp;"*",'[1]Track 3'!$I$1:$I$99,'[1]Track 3'!$F$1:$F$99,,2),"")),"")</f>
        <v>10:27:10:33</v>
      </c>
      <c r="J152" t="s">
        <v>689</v>
      </c>
    </row>
    <row r="153" spans="1:10" ht="14.25" customHeight="1" x14ac:dyDescent="0.35">
      <c r="A153">
        <v>152</v>
      </c>
      <c r="B153">
        <v>31152</v>
      </c>
      <c r="C153" t="s">
        <v>85</v>
      </c>
      <c r="D153" t="s">
        <v>119</v>
      </c>
      <c r="E153" s="6" t="s">
        <v>26</v>
      </c>
      <c r="F153" s="26" t="s">
        <v>189</v>
      </c>
      <c r="G153" s="19">
        <v>1</v>
      </c>
      <c r="H153" s="33" t="s">
        <v>167</v>
      </c>
      <c r="I153" t="str">
        <f>IF(H153="Track 3",IFERROR(_xlfn.XLOOKUP("*"&amp;LEFT(C153,FIND(" ",C153&amp;" ")-1)&amp;"*",'[1]Track 3'!$D$1:$D$99,'[1]Track 3'!$A$1:$A$99,,2),IFERROR(_xlfn.XLOOKUP("*"&amp;LEFT(C153,FIND(" ",C153&amp;" ")-1)&amp;"*",'[1]Track 3'!$I$1:$I$99,'[1]Track 3'!$F$1:$F$99,,2),"")),"")</f>
        <v/>
      </c>
      <c r="J153" s="29" t="s">
        <v>134</v>
      </c>
    </row>
    <row r="154" spans="1:10" ht="14.25" customHeight="1" x14ac:dyDescent="0.35">
      <c r="A154">
        <v>153</v>
      </c>
      <c r="B154">
        <v>31153</v>
      </c>
      <c r="C154" t="s">
        <v>187</v>
      </c>
      <c r="D154" t="s">
        <v>188</v>
      </c>
      <c r="E154" s="6" t="s">
        <v>12</v>
      </c>
      <c r="F154" s="26" t="s">
        <v>189</v>
      </c>
      <c r="G154" s="19">
        <v>1</v>
      </c>
      <c r="H154" s="33" t="s">
        <v>167</v>
      </c>
      <c r="I154" t="str">
        <f>IF(H154="Track 3",IFERROR(_xlfn.XLOOKUP("*"&amp;LEFT(C154,FIND(" ",C154&amp;" ")-1)&amp;"*",'[1]Track 3'!$D$1:$D$99,'[1]Track 3'!$A$1:$A$99,,2),IFERROR(_xlfn.XLOOKUP("*"&amp;LEFT(C154,FIND(" ",C154&amp;" ")-1)&amp;"*",'[1]Track 3'!$I$1:$I$99,'[1]Track 3'!$F$1:$F$99,,2),"")),"")</f>
        <v>12:40-12:50</v>
      </c>
      <c r="J154" s="36" t="s">
        <v>688</v>
      </c>
    </row>
    <row r="155" spans="1:10" ht="14.25" customHeight="1" x14ac:dyDescent="0.35">
      <c r="A155">
        <v>154</v>
      </c>
      <c r="B155">
        <v>31154</v>
      </c>
      <c r="C155" t="s">
        <v>192</v>
      </c>
      <c r="D155" t="s">
        <v>16</v>
      </c>
      <c r="E155" s="6" t="s">
        <v>12</v>
      </c>
      <c r="F155" s="26" t="s">
        <v>189</v>
      </c>
      <c r="G155" s="19">
        <v>1</v>
      </c>
      <c r="H155" s="33" t="s">
        <v>167</v>
      </c>
      <c r="I155" t="str">
        <f>IF(H155="Track 3",IFERROR(_xlfn.XLOOKUP("*"&amp;LEFT(C155,FIND(" ",C155&amp;" ")-1)&amp;"*",'[1]Track 3'!$D$1:$D$99,'[1]Track 3'!$A$1:$A$99,,2),IFERROR(_xlfn.XLOOKUP("*"&amp;LEFT(C155,FIND(" ",C155&amp;" ")-1)&amp;"*",'[1]Track 3'!$I$1:$I$99,'[1]Track 3'!$F$1:$F$99,,2),"")),"")</f>
        <v>12:50-13:00</v>
      </c>
      <c r="J155" t="s">
        <v>690</v>
      </c>
    </row>
    <row r="156" spans="1:10" ht="14.25" customHeight="1" x14ac:dyDescent="0.35">
      <c r="A156">
        <v>155</v>
      </c>
      <c r="B156">
        <v>31155</v>
      </c>
      <c r="C156" t="s">
        <v>193</v>
      </c>
      <c r="D156" t="s">
        <v>39</v>
      </c>
      <c r="E156" s="6" t="s">
        <v>12</v>
      </c>
      <c r="F156" s="26" t="s">
        <v>189</v>
      </c>
      <c r="G156" s="19">
        <v>1</v>
      </c>
      <c r="H156" s="33" t="s">
        <v>167</v>
      </c>
      <c r="I156" t="str">
        <f>IF(H156="Track 3",IFERROR(_xlfn.XLOOKUP("*"&amp;LEFT(C156,FIND(" ",C156&amp;" ")-1)&amp;"*",'[1]Track 3'!$D$1:$D$99,'[1]Track 3'!$A$1:$A$99,,2),IFERROR(_xlfn.XLOOKUP("*"&amp;LEFT(C156,FIND(" ",C156&amp;" ")-1)&amp;"*",'[1]Track 3'!$I$1:$I$99,'[1]Track 3'!$F$1:$F$99,,2),"")),"")</f>
        <v xml:space="preserve">13:00-13:10 </v>
      </c>
      <c r="J156" t="s">
        <v>691</v>
      </c>
    </row>
    <row r="157" spans="1:10" ht="14.25" customHeight="1" x14ac:dyDescent="0.35">
      <c r="A157">
        <v>156</v>
      </c>
      <c r="B157">
        <v>31156</v>
      </c>
      <c r="C157" t="s">
        <v>187</v>
      </c>
      <c r="D157" t="s">
        <v>188</v>
      </c>
      <c r="E157" s="6" t="s">
        <v>26</v>
      </c>
      <c r="F157" s="26" t="s">
        <v>189</v>
      </c>
      <c r="G157" s="19">
        <v>1</v>
      </c>
      <c r="H157" s="33" t="s">
        <v>167</v>
      </c>
      <c r="I157" t="str">
        <f>IF(H157="Track 3",IFERROR(_xlfn.XLOOKUP("*"&amp;LEFT(C157,FIND(" ",C157&amp;" ")-1)&amp;"*",'[1]Track 3'!$D$1:$D$99,'[1]Track 3'!$A$1:$A$99,,2),IFERROR(_xlfn.XLOOKUP("*"&amp;LEFT(C157,FIND(" ",C157&amp;" ")-1)&amp;"*",'[1]Track 3'!$I$1:$I$99,'[1]Track 3'!$F$1:$F$99,,2),"")),"")</f>
        <v>12:40-12:50</v>
      </c>
      <c r="J157" s="36" t="s">
        <v>688</v>
      </c>
    </row>
    <row r="158" spans="1:10" ht="14.25" customHeight="1" x14ac:dyDescent="0.35">
      <c r="A158">
        <v>157</v>
      </c>
      <c r="B158">
        <v>31157</v>
      </c>
      <c r="C158" t="s">
        <v>89</v>
      </c>
      <c r="D158" t="s">
        <v>18</v>
      </c>
      <c r="E158" s="6" t="s">
        <v>92</v>
      </c>
      <c r="F158" s="26" t="s">
        <v>189</v>
      </c>
      <c r="G158" s="19">
        <v>1</v>
      </c>
      <c r="H158" s="33" t="s">
        <v>167</v>
      </c>
      <c r="I158" t="str">
        <f>IF(H158="Track 3",IFERROR(_xlfn.XLOOKUP("*"&amp;LEFT(C158,FIND(" ",C158&amp;" ")-1)&amp;"*",'[1]Track 3'!$D$1:$D$99,'[1]Track 3'!$A$1:$A$99,,2),IFERROR(_xlfn.XLOOKUP("*"&amp;LEFT(C158,FIND(" ",C158&amp;" ")-1)&amp;"*",'[1]Track 3'!$I$1:$I$99,'[1]Track 3'!$F$1:$F$99,,2),"")),"")</f>
        <v>9:10-9:20</v>
      </c>
      <c r="J158" t="s">
        <v>678</v>
      </c>
    </row>
    <row r="159" spans="1:10" ht="14.25" customHeight="1" x14ac:dyDescent="0.35">
      <c r="A159">
        <v>158</v>
      </c>
      <c r="B159">
        <v>31158</v>
      </c>
      <c r="C159" t="s">
        <v>194</v>
      </c>
      <c r="D159" t="s">
        <v>39</v>
      </c>
      <c r="E159" s="6" t="s">
        <v>92</v>
      </c>
      <c r="F159" s="26" t="s">
        <v>189</v>
      </c>
      <c r="G159" s="19">
        <v>1</v>
      </c>
      <c r="H159" s="33" t="s">
        <v>167</v>
      </c>
    </row>
    <row r="160" spans="1:10" ht="14.25" customHeight="1" x14ac:dyDescent="0.35">
      <c r="A160">
        <v>159</v>
      </c>
      <c r="B160">
        <v>31159</v>
      </c>
      <c r="C160" t="s">
        <v>192</v>
      </c>
      <c r="D160" t="s">
        <v>16</v>
      </c>
      <c r="E160" s="6" t="s">
        <v>92</v>
      </c>
      <c r="F160" s="26" t="s">
        <v>189</v>
      </c>
      <c r="G160" s="19">
        <v>1</v>
      </c>
      <c r="H160" s="33" t="s">
        <v>167</v>
      </c>
      <c r="I160" t="str">
        <f>IF(H160="Track 3",IFERROR(_xlfn.XLOOKUP("*"&amp;LEFT(C160,FIND(" ",C160&amp;" ")-1)&amp;"*",'[1]Track 3'!$D$1:$D$99,'[1]Track 3'!$A$1:$A$99,,2),IFERROR(_xlfn.XLOOKUP("*"&amp;LEFT(C160,FIND(" ",C160&amp;" ")-1)&amp;"*",'[1]Track 3'!$I$1:$I$99,'[1]Track 3'!$F$1:$F$99,,2),"")),"")</f>
        <v>12:50-13:00</v>
      </c>
      <c r="J160" t="s">
        <v>690</v>
      </c>
    </row>
    <row r="161" spans="1:10" ht="14.25" customHeight="1" x14ac:dyDescent="0.35">
      <c r="A161">
        <v>160</v>
      </c>
      <c r="B161">
        <v>31160</v>
      </c>
      <c r="C161" t="s">
        <v>185</v>
      </c>
      <c r="D161" t="s">
        <v>169</v>
      </c>
      <c r="E161" s="6" t="s">
        <v>92</v>
      </c>
      <c r="F161" s="26" t="s">
        <v>189</v>
      </c>
      <c r="G161" s="19">
        <v>1</v>
      </c>
      <c r="H161" s="33" t="s">
        <v>167</v>
      </c>
      <c r="I161" t="str">
        <f>IF(H161="Track 3",IFERROR(_xlfn.XLOOKUP("*"&amp;LEFT(C161,FIND(" ",C161&amp;" ")-1)&amp;"*",'[1]Track 3'!$D$1:$D$99,'[1]Track 3'!$A$1:$A$99,,2),IFERROR(_xlfn.XLOOKUP("*"&amp;LEFT(C161,FIND(" ",C161&amp;" ")-1)&amp;"*",'[1]Track 3'!$I$1:$I$99,'[1]Track 3'!$F$1:$F$99,,2),"")),"")</f>
        <v>11:55-12:05</v>
      </c>
      <c r="J161" t="s">
        <v>684</v>
      </c>
    </row>
    <row r="162" spans="1:10" ht="14.25" customHeight="1" x14ac:dyDescent="0.35">
      <c r="A162">
        <v>161</v>
      </c>
      <c r="B162">
        <v>31161</v>
      </c>
      <c r="C162" t="s">
        <v>195</v>
      </c>
      <c r="D162" t="s">
        <v>150</v>
      </c>
      <c r="E162" s="6" t="s">
        <v>25</v>
      </c>
      <c r="F162" s="32" t="s">
        <v>196</v>
      </c>
      <c r="G162" s="19">
        <v>1</v>
      </c>
      <c r="H162" s="33" t="s">
        <v>167</v>
      </c>
      <c r="I162" t="str">
        <f>IF(H162="Track 3",IFERROR(_xlfn.XLOOKUP("*"&amp;LEFT(C162,FIND(" ",C162&amp;" ")-1)&amp;"*",'[1]Track 3'!$D$1:$D$99,'[1]Track 3'!$A$1:$A$99,,2),IFERROR(_xlfn.XLOOKUP("*"&amp;LEFT(C162,FIND(" ",C162&amp;" ")-1)&amp;"*",'[1]Track 3'!$I$1:$I$99,'[1]Track 3'!$F$1:$F$99,,2),"")),"")</f>
        <v>12:00-12:10</v>
      </c>
      <c r="J162" t="s">
        <v>692</v>
      </c>
    </row>
    <row r="163" spans="1:10" ht="14.25" customHeight="1" x14ac:dyDescent="0.35">
      <c r="A163">
        <v>162</v>
      </c>
      <c r="B163">
        <v>31162</v>
      </c>
      <c r="C163" t="s">
        <v>50</v>
      </c>
      <c r="D163" t="s">
        <v>51</v>
      </c>
      <c r="E163" s="6" t="s">
        <v>86</v>
      </c>
      <c r="F163" s="32" t="s">
        <v>196</v>
      </c>
      <c r="G163" s="19">
        <v>1</v>
      </c>
      <c r="H163" s="33" t="s">
        <v>167</v>
      </c>
      <c r="I163" t="str">
        <f>IF(H163="Track 3",IFERROR(_xlfn.XLOOKUP("*"&amp;LEFT(C163,FIND(" ",C163&amp;" ")-1)&amp;"*",'[1]Track 3'!$D$1:$D$99,'[1]Track 3'!$A$1:$A$99,,2),IFERROR(_xlfn.XLOOKUP("*"&amp;LEFT(C163,FIND(" ",C163&amp;" ")-1)&amp;"*",'[1]Track 3'!$I$1:$I$99,'[1]Track 3'!$F$1:$F$99,,2),"")),"")</f>
        <v>11:40-11:50</v>
      </c>
      <c r="J163" t="s">
        <v>693</v>
      </c>
    </row>
    <row r="164" spans="1:10" ht="14.25" customHeight="1" x14ac:dyDescent="0.35">
      <c r="A164">
        <v>163</v>
      </c>
      <c r="B164">
        <v>31163</v>
      </c>
      <c r="C164" t="s">
        <v>186</v>
      </c>
      <c r="D164" t="s">
        <v>94</v>
      </c>
      <c r="E164" s="6" t="s">
        <v>26</v>
      </c>
      <c r="F164" s="32" t="s">
        <v>196</v>
      </c>
      <c r="G164" s="19">
        <v>1</v>
      </c>
      <c r="H164" s="33" t="s">
        <v>167</v>
      </c>
      <c r="I164" t="str">
        <f>IF(H164="Track 3",IFERROR(_xlfn.XLOOKUP("*"&amp;LEFT(C164,FIND(" ",C164&amp;" ")-1)&amp;"*",'[1]Track 3'!$D$1:$D$99,'[1]Track 3'!$A$1:$A$99,,2),IFERROR(_xlfn.XLOOKUP("*"&amp;LEFT(C164,FIND(" ",C164&amp;" ")-1)&amp;"*",'[1]Track 3'!$I$1:$I$99,'[1]Track 3'!$F$1:$F$99,,2),"")),"")</f>
        <v>12:05-12:15</v>
      </c>
      <c r="J164" t="s">
        <v>687</v>
      </c>
    </row>
    <row r="165" spans="1:10" ht="14.25" customHeight="1" x14ac:dyDescent="0.35">
      <c r="A165">
        <v>164</v>
      </c>
      <c r="B165">
        <v>31164</v>
      </c>
      <c r="C165" t="s">
        <v>197</v>
      </c>
      <c r="D165" t="s">
        <v>39</v>
      </c>
      <c r="E165" s="6" t="s">
        <v>12</v>
      </c>
      <c r="F165" s="32" t="s">
        <v>196</v>
      </c>
      <c r="G165" s="19">
        <v>1</v>
      </c>
      <c r="H165" s="33" t="s">
        <v>167</v>
      </c>
      <c r="I165" t="str">
        <f>IF(H165="Track 3",IFERROR(_xlfn.XLOOKUP("*"&amp;LEFT(C165,FIND(" ",C165&amp;" ")-1)&amp;"*",'[1]Track 3'!$D$1:$D$99,'[1]Track 3'!$A$1:$A$99,,2),IFERROR(_xlfn.XLOOKUP("*"&amp;LEFT(C165,FIND(" ",C165&amp;" ")-1)&amp;"*",'[1]Track 3'!$I$1:$I$99,'[1]Track 3'!$F$1:$F$99,,2),"")),"")</f>
        <v>14:30-14:38</v>
      </c>
      <c r="J165" t="s">
        <v>694</v>
      </c>
    </row>
    <row r="166" spans="1:10" ht="14.25" customHeight="1" x14ac:dyDescent="0.35">
      <c r="A166">
        <v>165</v>
      </c>
      <c r="B166">
        <v>31165</v>
      </c>
      <c r="C166" t="s">
        <v>198</v>
      </c>
      <c r="D166" t="s">
        <v>199</v>
      </c>
      <c r="E166" s="6" t="s">
        <v>12</v>
      </c>
      <c r="F166" s="32" t="s">
        <v>196</v>
      </c>
      <c r="G166" s="19">
        <v>1</v>
      </c>
      <c r="H166" s="33" t="s">
        <v>167</v>
      </c>
      <c r="I166" t="str">
        <f>IF(H166="Track 3",IFERROR(_xlfn.XLOOKUP("*"&amp;LEFT(C166,FIND(" ",C166&amp;" ")-1)&amp;"*",'[1]Track 3'!$D$1:$D$99,'[1]Track 3'!$A$1:$A$99,,2),IFERROR(_xlfn.XLOOKUP("*"&amp;LEFT(C166,FIND(" ",C166&amp;" ")-1)&amp;"*",'[1]Track 3'!$I$1:$I$99,'[1]Track 3'!$F$1:$F$99,,2),"")),"")</f>
        <v>14:38-14:44</v>
      </c>
      <c r="J166" s="34" t="s">
        <v>695</v>
      </c>
    </row>
    <row r="167" spans="1:10" ht="14.25" customHeight="1" x14ac:dyDescent="0.35">
      <c r="A167">
        <v>166</v>
      </c>
      <c r="B167">
        <v>31166</v>
      </c>
      <c r="C167" t="s">
        <v>148</v>
      </c>
      <c r="D167" t="s">
        <v>18</v>
      </c>
      <c r="E167" s="6" t="s">
        <v>12</v>
      </c>
      <c r="F167" s="32" t="s">
        <v>196</v>
      </c>
      <c r="G167" s="19">
        <v>1</v>
      </c>
      <c r="H167" s="33" t="s">
        <v>167</v>
      </c>
      <c r="I167" t="str">
        <f>IF(H167="Track 3",IFERROR(_xlfn.XLOOKUP("*"&amp;LEFT(C167,FIND(" ",C167&amp;" ")-1)&amp;"*",'[1]Track 3'!$D$1:$D$99,'[1]Track 3'!$A$1:$A$99,,2),IFERROR(_xlfn.XLOOKUP("*"&amp;LEFT(C167,FIND(" ",C167&amp;" ")-1)&amp;"*",'[1]Track 3'!$I$1:$I$99,'[1]Track 3'!$F$1:$F$99,,2),"")),"")</f>
        <v>14:44-14:52</v>
      </c>
      <c r="J167" t="s">
        <v>696</v>
      </c>
    </row>
    <row r="168" spans="1:10" ht="14.25" customHeight="1" x14ac:dyDescent="0.35">
      <c r="A168">
        <v>167</v>
      </c>
      <c r="B168">
        <v>31167</v>
      </c>
      <c r="C168" t="s">
        <v>197</v>
      </c>
      <c r="D168" t="s">
        <v>39</v>
      </c>
      <c r="E168" s="6" t="s">
        <v>12</v>
      </c>
      <c r="F168" s="32" t="s">
        <v>196</v>
      </c>
      <c r="G168" s="19">
        <v>1</v>
      </c>
      <c r="H168" s="33" t="s">
        <v>167</v>
      </c>
      <c r="I168" t="str">
        <f>IF(H168="Track 3",IFERROR(_xlfn.XLOOKUP("*"&amp;LEFT(C168,FIND(" ",C168&amp;" ")-1)&amp;"*",'[1]Track 3'!$D$1:$D$99,'[1]Track 3'!$A$1:$A$99,,2),IFERROR(_xlfn.XLOOKUP("*"&amp;LEFT(C168,FIND(" ",C168&amp;" ")-1)&amp;"*",'[1]Track 3'!$I$1:$I$99,'[1]Track 3'!$F$1:$F$99,,2),"")),"")</f>
        <v>14:30-14:38</v>
      </c>
      <c r="J168" t="s">
        <v>694</v>
      </c>
    </row>
    <row r="169" spans="1:10" ht="14.25" customHeight="1" x14ac:dyDescent="0.35">
      <c r="A169">
        <v>168</v>
      </c>
      <c r="B169">
        <v>31168</v>
      </c>
      <c r="C169" t="s">
        <v>200</v>
      </c>
      <c r="D169" t="s">
        <v>31</v>
      </c>
      <c r="E169" s="6" t="s">
        <v>12</v>
      </c>
      <c r="F169" s="32" t="s">
        <v>196</v>
      </c>
      <c r="G169" s="19">
        <v>1</v>
      </c>
      <c r="H169" s="33" t="s">
        <v>167</v>
      </c>
      <c r="I169" t="str">
        <f>IF(H169="Track 3",IFERROR(_xlfn.XLOOKUP("*"&amp;LEFT(C169,FIND(" ",C169&amp;" ")-1)&amp;"*",'[1]Track 3'!$D$1:$D$99,'[1]Track 3'!$A$1:$A$99,,2),IFERROR(_xlfn.XLOOKUP("*"&amp;LEFT(C169,FIND(" ",C169&amp;" ")-1)&amp;"*",'[1]Track 3'!$I$1:$I$99,'[1]Track 3'!$F$1:$F$99,,2),"")),"")</f>
        <v>15:00- 15:08</v>
      </c>
      <c r="J169" t="s">
        <v>697</v>
      </c>
    </row>
    <row r="170" spans="1:10" ht="14.25" customHeight="1" x14ac:dyDescent="0.35">
      <c r="A170">
        <v>169</v>
      </c>
      <c r="B170">
        <v>31169</v>
      </c>
      <c r="C170" t="s">
        <v>201</v>
      </c>
      <c r="D170" t="s">
        <v>202</v>
      </c>
      <c r="E170" s="6" t="s">
        <v>12</v>
      </c>
      <c r="F170" s="32" t="s">
        <v>196</v>
      </c>
      <c r="G170" s="19">
        <v>1</v>
      </c>
      <c r="H170" s="33" t="s">
        <v>167</v>
      </c>
      <c r="I170" t="str">
        <f>IF(H170="Track 3",IFERROR(_xlfn.XLOOKUP("*"&amp;LEFT(C170,FIND(" ",C170&amp;" ")-1)&amp;"*",'[1]Track 3'!$D$1:$D$99,'[1]Track 3'!$A$1:$A$99,,2),IFERROR(_xlfn.XLOOKUP("*"&amp;LEFT(C170,FIND(" ",C170&amp;" ")-1)&amp;"*",'[1]Track 3'!$I$1:$I$99,'[1]Track 3'!$F$1:$F$99,,2),"")),"")</f>
        <v>15:08-15:16</v>
      </c>
      <c r="J170" s="34" t="s">
        <v>698</v>
      </c>
    </row>
    <row r="171" spans="1:10" ht="14.25" customHeight="1" x14ac:dyDescent="0.35">
      <c r="A171">
        <v>170</v>
      </c>
      <c r="B171">
        <v>31170</v>
      </c>
      <c r="C171" t="s">
        <v>203</v>
      </c>
      <c r="D171" t="s">
        <v>22</v>
      </c>
      <c r="E171" s="6" t="s">
        <v>12</v>
      </c>
      <c r="F171" s="32" t="s">
        <v>196</v>
      </c>
      <c r="G171" s="19">
        <v>1</v>
      </c>
      <c r="H171" s="33" t="s">
        <v>167</v>
      </c>
      <c r="I171" t="str">
        <f>IF(H171="Track 3",IFERROR(_xlfn.XLOOKUP("*"&amp;LEFT(C171,FIND(" ",C171&amp;" ")-1)&amp;"*",'[1]Track 3'!$D$1:$D$99,'[1]Track 3'!$A$1:$A$99,,2),IFERROR(_xlfn.XLOOKUP("*"&amp;LEFT(C171,FIND(" ",C171&amp;" ")-1)&amp;"*",'[1]Track 3'!$I$1:$I$99,'[1]Track 3'!$F$1:$F$99,,2),"")),"")</f>
        <v>15:16-15:24</v>
      </c>
      <c r="J171" t="s">
        <v>699</v>
      </c>
    </row>
    <row r="172" spans="1:10" ht="14.25" customHeight="1" x14ac:dyDescent="0.35">
      <c r="A172">
        <v>171</v>
      </c>
      <c r="B172">
        <v>32171</v>
      </c>
      <c r="C172" t="s">
        <v>37</v>
      </c>
      <c r="D172" t="s">
        <v>22</v>
      </c>
      <c r="E172" s="6" t="s">
        <v>25</v>
      </c>
      <c r="F172" s="37" t="s">
        <v>204</v>
      </c>
      <c r="G172" s="3">
        <v>2</v>
      </c>
      <c r="H172" s="33" t="s">
        <v>167</v>
      </c>
      <c r="I172" t="str">
        <f>IF(H172="Track 3",IFERROR(_xlfn.XLOOKUP("*"&amp;LEFT(C172,FIND(" ",C172&amp;" ")-1)&amp;"*",'[1]Track 3'!$D$1:$D$99,'[1]Track 3'!$A$1:$A$99,,2),IFERROR(_xlfn.XLOOKUP("*"&amp;LEFT(C172,FIND(" ",C172&amp;" ")-1)&amp;"*",'[1]Track 3'!$I$1:$I$99,'[1]Track 3'!$F$1:$F$99,,2),"")),"")</f>
        <v>9:00-9:10</v>
      </c>
      <c r="J172" s="29" t="s">
        <v>700</v>
      </c>
    </row>
    <row r="173" spans="1:10" ht="14.25" customHeight="1" x14ac:dyDescent="0.35">
      <c r="A173">
        <v>172</v>
      </c>
      <c r="B173">
        <v>32172</v>
      </c>
      <c r="C173" t="s">
        <v>128</v>
      </c>
      <c r="D173" t="s">
        <v>129</v>
      </c>
      <c r="E173" s="6" t="s">
        <v>86</v>
      </c>
      <c r="F173" s="37" t="s">
        <v>204</v>
      </c>
      <c r="G173" s="3">
        <v>2</v>
      </c>
      <c r="H173" s="33" t="s">
        <v>167</v>
      </c>
      <c r="I173" t="str">
        <f>IF(H173="Track 3",IFERROR(_xlfn.XLOOKUP("*"&amp;LEFT(C173,FIND(" ",C173&amp;" ")-1)&amp;"*",'[1]Track 3'!$D$1:$D$99,'[1]Track 3'!$A$1:$A$99,,2),IFERROR(_xlfn.XLOOKUP("*"&amp;LEFT(C173,FIND(" ",C173&amp;" ")-1)&amp;"*",'[1]Track 3'!$I$1:$I$99,'[1]Track 3'!$F$1:$F$99,,2),"")),"")</f>
        <v/>
      </c>
      <c r="J173" t="s">
        <v>134</v>
      </c>
    </row>
    <row r="174" spans="1:10" ht="14.25" customHeight="1" x14ac:dyDescent="0.35">
      <c r="A174">
        <v>173</v>
      </c>
      <c r="B174">
        <v>32173</v>
      </c>
      <c r="C174" t="s">
        <v>186</v>
      </c>
      <c r="D174" t="s">
        <v>94</v>
      </c>
      <c r="E174" s="6" t="s">
        <v>26</v>
      </c>
      <c r="F174" s="37" t="s">
        <v>204</v>
      </c>
      <c r="G174" s="3">
        <v>2</v>
      </c>
      <c r="H174" s="33" t="s">
        <v>167</v>
      </c>
      <c r="I174" t="str">
        <f>IF(H174="Track 3",IFERROR(_xlfn.XLOOKUP("*"&amp;LEFT(C174,FIND(" ",C174&amp;" ")-1)&amp;"*",'[1]Track 3'!$D$1:$D$99,'[1]Track 3'!$A$1:$A$99,,2),IFERROR(_xlfn.XLOOKUP("*"&amp;LEFT(C174,FIND(" ",C174&amp;" ")-1)&amp;"*",'[1]Track 3'!$I$1:$I$99,'[1]Track 3'!$F$1:$F$99,,2),"")),"")</f>
        <v>12:05-12:15</v>
      </c>
      <c r="J174" t="s">
        <v>687</v>
      </c>
    </row>
    <row r="175" spans="1:10" ht="14.25" customHeight="1" x14ac:dyDescent="0.35">
      <c r="A175">
        <v>174</v>
      </c>
      <c r="B175">
        <v>32174</v>
      </c>
      <c r="C175" t="s">
        <v>37</v>
      </c>
      <c r="D175" t="s">
        <v>22</v>
      </c>
      <c r="E175" s="6" t="s">
        <v>12</v>
      </c>
      <c r="F175" s="37" t="s">
        <v>204</v>
      </c>
      <c r="G175" s="3">
        <v>2</v>
      </c>
      <c r="H175" s="33" t="s">
        <v>167</v>
      </c>
      <c r="I175" t="str">
        <f>IF(H175="Track 3",IFERROR(_xlfn.XLOOKUP("*"&amp;LEFT(C175,FIND(" ",C175&amp;" ")-1)&amp;"*",'[1]Track 3'!$D$1:$D$99,'[1]Track 3'!$A$1:$A$99,,2),IFERROR(_xlfn.XLOOKUP("*"&amp;LEFT(C175,FIND(" ",C175&amp;" ")-1)&amp;"*",'[1]Track 3'!$I$1:$I$99,'[1]Track 3'!$F$1:$F$99,,2),"")),"")</f>
        <v>9:00-9:10</v>
      </c>
      <c r="J175" s="29" t="s">
        <v>700</v>
      </c>
    </row>
    <row r="176" spans="1:10" ht="14.25" customHeight="1" x14ac:dyDescent="0.35">
      <c r="A176">
        <v>175</v>
      </c>
      <c r="B176">
        <v>32175</v>
      </c>
      <c r="C176" t="s">
        <v>83</v>
      </c>
      <c r="D176" t="s">
        <v>84</v>
      </c>
      <c r="E176" s="6" t="s">
        <v>12</v>
      </c>
      <c r="F176" s="37" t="s">
        <v>204</v>
      </c>
      <c r="G176" s="3">
        <v>2</v>
      </c>
      <c r="H176" s="33" t="s">
        <v>167</v>
      </c>
      <c r="I176" t="str">
        <f>IF(H176="Track 3",IFERROR(_xlfn.XLOOKUP("*"&amp;LEFT(C176,FIND(" ",C176&amp;" ")-1)&amp;"*",'[1]Track 3'!$D$1:$D$99,'[1]Track 3'!$A$1:$A$99,,2),IFERROR(_xlfn.XLOOKUP("*"&amp;LEFT(C176,FIND(" ",C176&amp;" ")-1)&amp;"*",'[1]Track 3'!$I$1:$I$99,'[1]Track 3'!$F$1:$F$99,,2),"")),"")</f>
        <v xml:space="preserve">13:00-13:10 </v>
      </c>
      <c r="J176" t="s">
        <v>691</v>
      </c>
    </row>
    <row r="177" spans="1:10" ht="14.25" customHeight="1" x14ac:dyDescent="0.35">
      <c r="A177">
        <v>176</v>
      </c>
      <c r="B177">
        <v>32176</v>
      </c>
      <c r="C177" t="s">
        <v>205</v>
      </c>
      <c r="D177" t="s">
        <v>39</v>
      </c>
      <c r="E177" s="6" t="s">
        <v>12</v>
      </c>
      <c r="F177" s="37" t="s">
        <v>204</v>
      </c>
      <c r="G177" s="3">
        <v>2</v>
      </c>
      <c r="H177" s="33" t="s">
        <v>167</v>
      </c>
      <c r="I177" t="str">
        <f>IF(H177="Track 3",IFERROR(_xlfn.XLOOKUP("*"&amp;LEFT(C177,FIND(" ",C177&amp;" ")-1)&amp;"*",'[1]Track 3'!$D$1:$D$99,'[1]Track 3'!$A$1:$A$99,,2),IFERROR(_xlfn.XLOOKUP("*"&amp;LEFT(C177,FIND(" ",C177&amp;" ")-1)&amp;"*",'[1]Track 3'!$I$1:$I$99,'[1]Track 3'!$F$1:$F$99,,2),"")),"")</f>
        <v>9:20-9:30</v>
      </c>
      <c r="J177" t="s">
        <v>701</v>
      </c>
    </row>
    <row r="178" spans="1:10" ht="14.25" customHeight="1" x14ac:dyDescent="0.35">
      <c r="A178">
        <v>177</v>
      </c>
      <c r="B178">
        <v>32177</v>
      </c>
      <c r="C178" t="s">
        <v>206</v>
      </c>
      <c r="D178" t="s">
        <v>31</v>
      </c>
      <c r="E178" s="6" t="s">
        <v>12</v>
      </c>
      <c r="F178" s="37" t="s">
        <v>204</v>
      </c>
      <c r="G178" s="3">
        <v>2</v>
      </c>
      <c r="H178" s="33" t="s">
        <v>167</v>
      </c>
      <c r="I178" t="str">
        <f>IF(H178="Track 3",IFERROR(_xlfn.XLOOKUP("*"&amp;LEFT(C178,FIND(" ",C178&amp;" ")-1)&amp;"*",'[1]Track 3'!$D$1:$D$99,'[1]Track 3'!$A$1:$A$99,,2),IFERROR(_xlfn.XLOOKUP("*"&amp;LEFT(C178,FIND(" ",C178&amp;" ")-1)&amp;"*",'[1]Track 3'!$I$1:$I$99,'[1]Track 3'!$F$1:$F$99,,2),"")),"")</f>
        <v>9:30- 9:40</v>
      </c>
      <c r="J178" t="s">
        <v>702</v>
      </c>
    </row>
    <row r="179" spans="1:10" ht="14.25" customHeight="1" x14ac:dyDescent="0.35">
      <c r="A179">
        <v>178</v>
      </c>
      <c r="B179">
        <v>32178</v>
      </c>
      <c r="C179" t="s">
        <v>90</v>
      </c>
      <c r="D179" t="s">
        <v>31</v>
      </c>
      <c r="E179" s="6" t="s">
        <v>25</v>
      </c>
      <c r="F179" s="32" t="s">
        <v>207</v>
      </c>
      <c r="G179" s="3">
        <v>2</v>
      </c>
      <c r="H179" s="33" t="s">
        <v>167</v>
      </c>
      <c r="I179" t="str">
        <f>IF(H179="Track 3",IFERROR(_xlfn.XLOOKUP("*"&amp;LEFT(C179,FIND(" ",C179&amp;" ")-1)&amp;"*",'[1]Track 3'!$D$1:$D$99,'[1]Track 3'!$A$1:$A$99,,2),IFERROR(_xlfn.XLOOKUP("*"&amp;LEFT(C179,FIND(" ",C179&amp;" ")-1)&amp;"*",'[1]Track 3'!$I$1:$I$99,'[1]Track 3'!$F$1:$F$99,,2),"")),"")</f>
        <v>10:15-10:21</v>
      </c>
      <c r="J179" t="s">
        <v>703</v>
      </c>
    </row>
    <row r="180" spans="1:10" ht="14.25" customHeight="1" x14ac:dyDescent="0.35">
      <c r="A180">
        <v>179</v>
      </c>
      <c r="B180">
        <v>32179</v>
      </c>
      <c r="C180" t="s">
        <v>34</v>
      </c>
      <c r="D180" t="s">
        <v>208</v>
      </c>
      <c r="E180" s="6" t="s">
        <v>86</v>
      </c>
      <c r="F180" s="32" t="s">
        <v>207</v>
      </c>
      <c r="G180" s="3">
        <v>2</v>
      </c>
      <c r="H180" s="33" t="s">
        <v>167</v>
      </c>
      <c r="I180" t="str">
        <f>IF(H180="Track 3",IFERROR(_xlfn.XLOOKUP("*"&amp;LEFT(C180,FIND(" ",C180&amp;" ")-1)&amp;"*",'[1]Track 3'!$D$1:$D$99,'[1]Track 3'!$A$1:$A$99,,2),IFERROR(_xlfn.XLOOKUP("*"&amp;LEFT(C180,FIND(" ",C180&amp;" ")-1)&amp;"*",'[1]Track 3'!$I$1:$I$99,'[1]Track 3'!$F$1:$F$99,,2),"")),"")</f>
        <v>10:27:10:33</v>
      </c>
      <c r="J180" t="s">
        <v>689</v>
      </c>
    </row>
    <row r="181" spans="1:10" ht="14.25" customHeight="1" x14ac:dyDescent="0.35">
      <c r="A181">
        <v>180</v>
      </c>
      <c r="B181">
        <v>32180</v>
      </c>
      <c r="C181" t="s">
        <v>185</v>
      </c>
      <c r="D181" t="s">
        <v>169</v>
      </c>
      <c r="E181" s="6" t="s">
        <v>26</v>
      </c>
      <c r="F181" s="32" t="s">
        <v>207</v>
      </c>
      <c r="G181" s="3">
        <v>2</v>
      </c>
      <c r="H181" s="33" t="s">
        <v>167</v>
      </c>
      <c r="I181" t="str">
        <f>IF(H181="Track 3",IFERROR(_xlfn.XLOOKUP("*"&amp;LEFT(C181,FIND(" ",C181&amp;" ")-1)&amp;"*",'[1]Track 3'!$D$1:$D$99,'[1]Track 3'!$A$1:$A$99,,2),IFERROR(_xlfn.XLOOKUP("*"&amp;LEFT(C181,FIND(" ",C181&amp;" ")-1)&amp;"*",'[1]Track 3'!$I$1:$I$99,'[1]Track 3'!$F$1:$F$99,,2),"")),"")</f>
        <v>11:55-12:05</v>
      </c>
      <c r="J181" t="s">
        <v>684</v>
      </c>
    </row>
    <row r="182" spans="1:10" ht="14.25" customHeight="1" x14ac:dyDescent="0.35">
      <c r="A182">
        <v>181</v>
      </c>
      <c r="B182">
        <v>32181</v>
      </c>
      <c r="C182" t="s">
        <v>90</v>
      </c>
      <c r="D182" t="s">
        <v>31</v>
      </c>
      <c r="E182" s="6" t="s">
        <v>12</v>
      </c>
      <c r="F182" s="32" t="s">
        <v>207</v>
      </c>
      <c r="G182" s="3">
        <v>2</v>
      </c>
      <c r="H182" s="33" t="s">
        <v>167</v>
      </c>
      <c r="I182" t="str">
        <f>IF(H182="Track 3",IFERROR(_xlfn.XLOOKUP("*"&amp;LEFT(C182,FIND(" ",C182&amp;" ")-1)&amp;"*",'[1]Track 3'!$D$1:$D$99,'[1]Track 3'!$A$1:$A$99,,2),IFERROR(_xlfn.XLOOKUP("*"&amp;LEFT(C182,FIND(" ",C182&amp;" ")-1)&amp;"*",'[1]Track 3'!$I$1:$I$99,'[1]Track 3'!$F$1:$F$99,,2),"")),"")</f>
        <v>10:15-10:21</v>
      </c>
      <c r="J182" t="s">
        <v>703</v>
      </c>
    </row>
    <row r="183" spans="1:10" ht="14.25" customHeight="1" x14ac:dyDescent="0.35">
      <c r="A183">
        <v>182</v>
      </c>
      <c r="B183">
        <v>32182</v>
      </c>
      <c r="C183" t="s">
        <v>185</v>
      </c>
      <c r="D183" t="s">
        <v>169</v>
      </c>
      <c r="E183" s="6" t="s">
        <v>12</v>
      </c>
      <c r="F183" s="32" t="s">
        <v>207</v>
      </c>
      <c r="G183" s="3">
        <v>2</v>
      </c>
      <c r="H183" s="33" t="s">
        <v>167</v>
      </c>
      <c r="I183" t="str">
        <f>IF(H183="Track 3",IFERROR(_xlfn.XLOOKUP("*"&amp;LEFT(C183,FIND(" ",C183&amp;" ")-1)&amp;"*",'[1]Track 3'!$D$1:$D$99,'[1]Track 3'!$A$1:$A$99,,2),IFERROR(_xlfn.XLOOKUP("*"&amp;LEFT(C183,FIND(" ",C183&amp;" ")-1)&amp;"*",'[1]Track 3'!$I$1:$I$99,'[1]Track 3'!$F$1:$F$99,,2),"")),"")</f>
        <v>11:55-12:05</v>
      </c>
      <c r="J183" t="s">
        <v>684</v>
      </c>
    </row>
    <row r="184" spans="1:10" ht="14.25" customHeight="1" x14ac:dyDescent="0.35">
      <c r="A184">
        <v>183</v>
      </c>
      <c r="B184">
        <v>32183</v>
      </c>
      <c r="C184" t="s">
        <v>34</v>
      </c>
      <c r="D184" t="s">
        <v>209</v>
      </c>
      <c r="E184" s="6" t="s">
        <v>12</v>
      </c>
      <c r="F184" s="32" t="s">
        <v>207</v>
      </c>
      <c r="G184" s="3">
        <v>2</v>
      </c>
      <c r="H184" s="33" t="s">
        <v>167</v>
      </c>
      <c r="I184" t="str">
        <f>IF(H184="Track 3",IFERROR(_xlfn.XLOOKUP("*"&amp;LEFT(C184,FIND(" ",C184&amp;" ")-1)&amp;"*",'[1]Track 3'!$D$1:$D$99,'[1]Track 3'!$A$1:$A$99,,2),IFERROR(_xlfn.XLOOKUP("*"&amp;LEFT(C184,FIND(" ",C184&amp;" ")-1)&amp;"*",'[1]Track 3'!$I$1:$I$99,'[1]Track 3'!$F$1:$F$99,,2),"")),"")</f>
        <v>10:27:10:33</v>
      </c>
      <c r="J184" t="s">
        <v>689</v>
      </c>
    </row>
    <row r="185" spans="1:10" ht="14.25" customHeight="1" x14ac:dyDescent="0.35">
      <c r="A185">
        <v>184</v>
      </c>
      <c r="B185">
        <v>32184</v>
      </c>
      <c r="C185" t="s">
        <v>210</v>
      </c>
      <c r="D185" t="s">
        <v>211</v>
      </c>
      <c r="E185" s="6" t="s">
        <v>12</v>
      </c>
      <c r="F185" s="32" t="s">
        <v>207</v>
      </c>
      <c r="G185" s="3">
        <v>2</v>
      </c>
      <c r="H185" s="33" t="s">
        <v>167</v>
      </c>
      <c r="I185" t="str">
        <f>IF(H185="Track 3",IFERROR(_xlfn.XLOOKUP("*"&amp;LEFT(C185,FIND(" ",C185&amp;" ")-1)&amp;"*",'[1]Track 3'!$D$1:$D$99,'[1]Track 3'!$A$1:$A$99,,2),IFERROR(_xlfn.XLOOKUP("*"&amp;LEFT(C185,FIND(" ",C185&amp;" ")-1)&amp;"*",'[1]Track 3'!$I$1:$I$99,'[1]Track 3'!$F$1:$F$99,,2),"")),"")</f>
        <v>10:33-10:39</v>
      </c>
      <c r="J185" t="s">
        <v>704</v>
      </c>
    </row>
    <row r="186" spans="1:10" ht="14.25" customHeight="1" x14ac:dyDescent="0.35">
      <c r="A186">
        <v>185</v>
      </c>
      <c r="B186">
        <v>32185</v>
      </c>
      <c r="C186" t="s">
        <v>117</v>
      </c>
      <c r="D186" t="s">
        <v>113</v>
      </c>
      <c r="E186" s="6" t="s">
        <v>12</v>
      </c>
      <c r="F186" s="32" t="s">
        <v>207</v>
      </c>
      <c r="G186" s="3">
        <v>2</v>
      </c>
      <c r="H186" s="33" t="s">
        <v>167</v>
      </c>
      <c r="I186" t="str">
        <f>IF(H186="Track 3",IFERROR(_xlfn.XLOOKUP("*"&amp;LEFT(C186,FIND(" ",C186&amp;" ")-1)&amp;"*",'[1]Track 3'!$D$1:$D$99,'[1]Track 3'!$A$1:$A$99,,2),IFERROR(_xlfn.XLOOKUP("*"&amp;LEFT(C186,FIND(" ",C186&amp;" ")-1)&amp;"*",'[1]Track 3'!$I$1:$I$99,'[1]Track 3'!$F$1:$F$99,,2),"")),"")</f>
        <v>10:39-10:45</v>
      </c>
      <c r="J186" t="s">
        <v>705</v>
      </c>
    </row>
    <row r="187" spans="1:10" ht="14.25" customHeight="1" x14ac:dyDescent="0.35">
      <c r="A187">
        <v>186</v>
      </c>
      <c r="B187">
        <v>32186</v>
      </c>
      <c r="C187" t="s">
        <v>93</v>
      </c>
      <c r="D187" t="s">
        <v>208</v>
      </c>
      <c r="E187" s="6" t="s">
        <v>92</v>
      </c>
      <c r="F187" s="32" t="s">
        <v>207</v>
      </c>
      <c r="G187" s="3">
        <v>2</v>
      </c>
      <c r="H187" s="33" t="s">
        <v>167</v>
      </c>
      <c r="I187" t="str">
        <f>IF(H187="Track 3",IFERROR(_xlfn.XLOOKUP("*"&amp;LEFT(C187,FIND(" ",C187&amp;" ")-1)&amp;"*",'[1]Track 3'!$D$1:$D$99,'[1]Track 3'!$A$1:$A$99,,2),IFERROR(_xlfn.XLOOKUP("*"&amp;LEFT(C187,FIND(" ",C187&amp;" ")-1)&amp;"*",'[1]Track 3'!$I$1:$I$99,'[1]Track 3'!$F$1:$F$99,,2),"")),"")</f>
        <v>10:45-11:10</v>
      </c>
      <c r="J187" t="s">
        <v>706</v>
      </c>
    </row>
    <row r="188" spans="1:10" ht="14.25" customHeight="1" x14ac:dyDescent="0.35">
      <c r="A188">
        <v>187</v>
      </c>
      <c r="B188">
        <v>32187</v>
      </c>
      <c r="C188" t="s">
        <v>212</v>
      </c>
      <c r="D188" t="s">
        <v>169</v>
      </c>
      <c r="E188" s="12" t="s">
        <v>213</v>
      </c>
      <c r="F188" s="32" t="s">
        <v>207</v>
      </c>
      <c r="G188" s="3">
        <v>2</v>
      </c>
      <c r="H188" s="33" t="s">
        <v>167</v>
      </c>
      <c r="I188" t="str">
        <f>IF(H188="Track 3",IFERROR(_xlfn.XLOOKUP("*"&amp;LEFT(C188,FIND(" ",C188&amp;" ")-1)&amp;"*",'[1]Track 3'!$D$1:$D$99,'[1]Track 3'!$A$1:$A$99,,2),IFERROR(_xlfn.XLOOKUP("*"&amp;LEFT(C188,FIND(" ",C188&amp;" ")-1)&amp;"*",'[1]Track 3'!$I$1:$I$99,'[1]Track 3'!$F$1:$F$99,,2),"")),"")</f>
        <v>12:15-12:25</v>
      </c>
      <c r="J188" t="s">
        <v>685</v>
      </c>
    </row>
    <row r="189" spans="1:10" ht="14.25" customHeight="1" x14ac:dyDescent="0.35">
      <c r="A189">
        <v>188</v>
      </c>
      <c r="B189">
        <v>32188</v>
      </c>
      <c r="C189" t="s">
        <v>74</v>
      </c>
      <c r="D189" t="s">
        <v>75</v>
      </c>
      <c r="E189" s="6" t="s">
        <v>25</v>
      </c>
      <c r="F189" s="32" t="s">
        <v>214</v>
      </c>
      <c r="G189" s="3">
        <v>2</v>
      </c>
      <c r="H189" s="33" t="s">
        <v>167</v>
      </c>
      <c r="I189" t="str">
        <f>IF(H189="Track 3",IFERROR(_xlfn.XLOOKUP("*"&amp;LEFT(C189,FIND(" ",C189&amp;" ")-1)&amp;"*",'[1]Track 3'!$D$1:$D$99,'[1]Track 3'!$A$1:$A$99,,2),IFERROR(_xlfn.XLOOKUP("*"&amp;LEFT(C189,FIND(" ",C189&amp;" ")-1)&amp;"*",'[1]Track 3'!$I$1:$I$99,'[1]Track 3'!$F$1:$F$99,,2),"")),"")</f>
        <v>11:30-11:40</v>
      </c>
      <c r="J189" t="s">
        <v>707</v>
      </c>
    </row>
    <row r="190" spans="1:10" ht="14.25" customHeight="1" x14ac:dyDescent="0.35">
      <c r="A190">
        <v>189</v>
      </c>
      <c r="B190">
        <v>32189</v>
      </c>
      <c r="C190" t="s">
        <v>215</v>
      </c>
      <c r="D190" t="s">
        <v>216</v>
      </c>
      <c r="E190" s="6" t="s">
        <v>86</v>
      </c>
      <c r="F190" s="32" t="s">
        <v>214</v>
      </c>
      <c r="G190" s="3">
        <v>2</v>
      </c>
      <c r="H190" s="33" t="s">
        <v>167</v>
      </c>
      <c r="I190" t="str">
        <f>IF(H190="Track 3",IFERROR(_xlfn.XLOOKUP("*"&amp;LEFT(C190,FIND(" ",C190&amp;" ")-1)&amp;"*",'[1]Track 3'!$D$1:$D$99,'[1]Track 3'!$A$1:$A$99,,2),IFERROR(_xlfn.XLOOKUP("*"&amp;LEFT(C190,FIND(" ",C190&amp;" ")-1)&amp;"*",'[1]Track 3'!$I$1:$I$99,'[1]Track 3'!$F$1:$F$99,,2),"")),"")</f>
        <v/>
      </c>
      <c r="J190" t="s">
        <v>134</v>
      </c>
    </row>
    <row r="191" spans="1:10" ht="14.25" customHeight="1" x14ac:dyDescent="0.35">
      <c r="A191">
        <v>190</v>
      </c>
      <c r="B191">
        <v>32190</v>
      </c>
      <c r="C191" t="s">
        <v>217</v>
      </c>
      <c r="D191" t="s">
        <v>75</v>
      </c>
      <c r="E191" s="6" t="s">
        <v>26</v>
      </c>
      <c r="F191" s="32" t="s">
        <v>214</v>
      </c>
      <c r="G191" s="3">
        <v>2</v>
      </c>
      <c r="H191" s="33" t="s">
        <v>167</v>
      </c>
      <c r="I191" t="str">
        <f>IF(H191="Track 3",IFERROR(_xlfn.XLOOKUP("*"&amp;LEFT(C191,FIND(" ",C191&amp;" ")-1)&amp;"*",'[1]Track 3'!$D$1:$D$99,'[1]Track 3'!$A$1:$A$99,,2),IFERROR(_xlfn.XLOOKUP("*"&amp;LEFT(C191,FIND(" ",C191&amp;" ")-1)&amp;"*",'[1]Track 3'!$I$1:$I$99,'[1]Track 3'!$F$1:$F$99,,2),"")),"")</f>
        <v>12:10-12:20</v>
      </c>
      <c r="J191" t="s">
        <v>708</v>
      </c>
    </row>
    <row r="192" spans="1:10" ht="14.25" customHeight="1" x14ac:dyDescent="0.35">
      <c r="A192">
        <v>191</v>
      </c>
      <c r="B192">
        <v>32191</v>
      </c>
      <c r="C192" t="s">
        <v>74</v>
      </c>
      <c r="D192" t="s">
        <v>75</v>
      </c>
      <c r="E192" s="6" t="s">
        <v>12</v>
      </c>
      <c r="F192" s="32" t="s">
        <v>214</v>
      </c>
      <c r="G192" s="3">
        <v>2</v>
      </c>
      <c r="H192" s="33" t="s">
        <v>167</v>
      </c>
      <c r="I192" t="str">
        <f>IF(H192="Track 3",IFERROR(_xlfn.XLOOKUP("*"&amp;LEFT(C192,FIND(" ",C192&amp;" ")-1)&amp;"*",'[1]Track 3'!$D$1:$D$99,'[1]Track 3'!$A$1:$A$99,,2),IFERROR(_xlfn.XLOOKUP("*"&amp;LEFT(C192,FIND(" ",C192&amp;" ")-1)&amp;"*",'[1]Track 3'!$I$1:$I$99,'[1]Track 3'!$F$1:$F$99,,2),"")),"")</f>
        <v>11:30-11:40</v>
      </c>
      <c r="J192" s="25" t="s">
        <v>707</v>
      </c>
    </row>
    <row r="193" spans="1:10" ht="14.25" customHeight="1" x14ac:dyDescent="0.35">
      <c r="A193">
        <v>192</v>
      </c>
      <c r="B193">
        <v>32192</v>
      </c>
      <c r="C193" t="s">
        <v>195</v>
      </c>
      <c r="D193" t="s">
        <v>150</v>
      </c>
      <c r="E193" s="6" t="s">
        <v>12</v>
      </c>
      <c r="F193" s="32" t="s">
        <v>214</v>
      </c>
      <c r="G193" s="3">
        <v>2</v>
      </c>
      <c r="H193" s="33" t="s">
        <v>167</v>
      </c>
      <c r="I193" t="str">
        <f>IF(H193="Track 3",IFERROR(_xlfn.XLOOKUP("*"&amp;LEFT(C193,FIND(" ",C193&amp;" ")-1)&amp;"*",'[1]Track 3'!$D$1:$D$99,'[1]Track 3'!$A$1:$A$99,,2),IFERROR(_xlfn.XLOOKUP("*"&amp;LEFT(C193,FIND(" ",C193&amp;" ")-1)&amp;"*",'[1]Track 3'!$I$1:$I$99,'[1]Track 3'!$F$1:$F$99,,2),"")),"")</f>
        <v>12:00-12:10</v>
      </c>
      <c r="J193" t="s">
        <v>692</v>
      </c>
    </row>
    <row r="194" spans="1:10" ht="14.25" customHeight="1" x14ac:dyDescent="0.35">
      <c r="A194">
        <v>193</v>
      </c>
      <c r="B194">
        <v>32193</v>
      </c>
      <c r="C194" t="s">
        <v>122</v>
      </c>
      <c r="D194" t="s">
        <v>75</v>
      </c>
      <c r="E194" s="6" t="s">
        <v>12</v>
      </c>
      <c r="F194" s="32" t="s">
        <v>214</v>
      </c>
      <c r="G194" s="3">
        <v>2</v>
      </c>
      <c r="H194" s="33" t="s">
        <v>167</v>
      </c>
      <c r="I194" t="str">
        <f>IF(H194="Track 3",IFERROR(_xlfn.XLOOKUP("*"&amp;LEFT(C194,FIND(" ",C194&amp;" ")-1)&amp;"*",'[1]Track 3'!$D$1:$D$99,'[1]Track 3'!$A$1:$A$99,,2),IFERROR(_xlfn.XLOOKUP("*"&amp;LEFT(C194,FIND(" ",C194&amp;" ")-1)&amp;"*",'[1]Track 3'!$I$1:$I$99,'[1]Track 3'!$F$1:$F$99,,2),"")),"")</f>
        <v>11:50-12:00</v>
      </c>
      <c r="J194" t="s">
        <v>680</v>
      </c>
    </row>
    <row r="195" spans="1:10" ht="14.25" customHeight="1" x14ac:dyDescent="0.35">
      <c r="A195">
        <v>194</v>
      </c>
      <c r="B195">
        <v>32194</v>
      </c>
      <c r="C195" t="s">
        <v>50</v>
      </c>
      <c r="D195" t="s">
        <v>51</v>
      </c>
      <c r="E195" s="6" t="s">
        <v>12</v>
      </c>
      <c r="F195" s="32" t="s">
        <v>214</v>
      </c>
      <c r="G195" s="3">
        <v>2</v>
      </c>
      <c r="H195" s="33" t="s">
        <v>167</v>
      </c>
      <c r="I195" t="str">
        <f>IF(H195="Track 3",IFERROR(_xlfn.XLOOKUP("*"&amp;LEFT(C195,FIND(" ",C195&amp;" ")-1)&amp;"*",'[1]Track 3'!$D$1:$D$99,'[1]Track 3'!$A$1:$A$99,,2),IFERROR(_xlfn.XLOOKUP("*"&amp;LEFT(C195,FIND(" ",C195&amp;" ")-1)&amp;"*",'[1]Track 3'!$I$1:$I$99,'[1]Track 3'!$F$1:$F$99,,2),"")),"")</f>
        <v>11:40-11:50</v>
      </c>
      <c r="J195" t="s">
        <v>693</v>
      </c>
    </row>
    <row r="196" spans="1:10" ht="14.25" customHeight="1" x14ac:dyDescent="0.35">
      <c r="A196">
        <v>195</v>
      </c>
      <c r="B196">
        <v>32195</v>
      </c>
      <c r="C196" t="s">
        <v>217</v>
      </c>
      <c r="D196" t="s">
        <v>75</v>
      </c>
      <c r="E196" s="6" t="s">
        <v>12</v>
      </c>
      <c r="F196" s="32" t="s">
        <v>214</v>
      </c>
      <c r="G196" s="3">
        <v>2</v>
      </c>
      <c r="H196" s="33" t="s">
        <v>167</v>
      </c>
      <c r="I196" t="str">
        <f>IF(H196="Track 3",IFERROR(_xlfn.XLOOKUP("*"&amp;LEFT(C196,FIND(" ",C196&amp;" ")-1)&amp;"*",'[1]Track 3'!$D$1:$D$99,'[1]Track 3'!$A$1:$A$99,,2),IFERROR(_xlfn.XLOOKUP("*"&amp;LEFT(C196,FIND(" ",C196&amp;" ")-1)&amp;"*",'[1]Track 3'!$I$1:$I$99,'[1]Track 3'!$F$1:$F$99,,2),"")),"")</f>
        <v>12:10-12:20</v>
      </c>
      <c r="J196" t="s">
        <v>708</v>
      </c>
    </row>
    <row r="197" spans="1:10" ht="14.25" customHeight="1" x14ac:dyDescent="0.35">
      <c r="A197">
        <v>196</v>
      </c>
      <c r="B197">
        <v>32196</v>
      </c>
      <c r="C197" t="s">
        <v>218</v>
      </c>
      <c r="D197" t="s">
        <v>18</v>
      </c>
      <c r="E197" s="6" t="s">
        <v>12</v>
      </c>
      <c r="F197" s="32" t="s">
        <v>214</v>
      </c>
      <c r="G197" s="3">
        <v>2</v>
      </c>
      <c r="H197" s="33" t="s">
        <v>167</v>
      </c>
      <c r="I197" t="str">
        <f>IF(H197="Track 3",IFERROR(_xlfn.XLOOKUP("*"&amp;LEFT(C197,FIND(" ",C197&amp;" ")-1)&amp;"*",'[1]Track 3'!$D$1:$D$99,'[1]Track 3'!$A$1:$A$99,,2),IFERROR(_xlfn.XLOOKUP("*"&amp;LEFT(C197,FIND(" ",C197&amp;" ")-1)&amp;"*",'[1]Track 3'!$I$1:$I$99,'[1]Track 3'!$F$1:$F$99,,2),"")),"")</f>
        <v>12:20-12:30</v>
      </c>
      <c r="J197" t="s">
        <v>709</v>
      </c>
    </row>
    <row r="198" spans="1:10" ht="14.25" customHeight="1" x14ac:dyDescent="0.35">
      <c r="A198">
        <v>197</v>
      </c>
      <c r="B198">
        <v>32197</v>
      </c>
      <c r="C198" t="s">
        <v>152</v>
      </c>
      <c r="D198" t="s">
        <v>153</v>
      </c>
      <c r="E198" s="6" t="s">
        <v>25</v>
      </c>
      <c r="F198" s="38" t="s">
        <v>219</v>
      </c>
      <c r="G198" s="3">
        <v>2</v>
      </c>
      <c r="H198" s="33" t="s">
        <v>167</v>
      </c>
      <c r="I198" t="str">
        <f>IF(H198="Track 3",IFERROR(_xlfn.XLOOKUP("*"&amp;LEFT(C198,FIND(" ",C198&amp;" ")-1)&amp;"*",'[1]Track 3'!$D$1:$D$99,'[1]Track 3'!$A$1:$A$99,,2),IFERROR(_xlfn.XLOOKUP("*"&amp;LEFT(C198,FIND(" ",C198&amp;" ")-1)&amp;"*",'[1]Track 3'!$I$1:$I$99,'[1]Track 3'!$F$1:$F$99,,2),"")),"")</f>
        <v>9:20-9:30</v>
      </c>
      <c r="J198" s="18" t="s">
        <v>679</v>
      </c>
    </row>
    <row r="199" spans="1:10" ht="14.25" customHeight="1" x14ac:dyDescent="0.35">
      <c r="A199">
        <v>198</v>
      </c>
      <c r="B199">
        <v>32198</v>
      </c>
      <c r="C199" t="s">
        <v>151</v>
      </c>
      <c r="D199" t="s">
        <v>73</v>
      </c>
      <c r="E199" s="6" t="s">
        <v>86</v>
      </c>
      <c r="F199" s="38" t="s">
        <v>219</v>
      </c>
      <c r="G199" s="3">
        <v>2</v>
      </c>
      <c r="H199" s="33" t="s">
        <v>167</v>
      </c>
      <c r="I199" t="str">
        <f>IF(H199="Track 3",IFERROR(_xlfn.XLOOKUP("*"&amp;LEFT(C199,FIND(" ",C199&amp;" ")-1)&amp;"*",'[1]Track 3'!$D$1:$D$99,'[1]Track 3'!$A$1:$A$99,,2),IFERROR(_xlfn.XLOOKUP("*"&amp;LEFT(C199,FIND(" ",C199&amp;" ")-1)&amp;"*",'[1]Track 3'!$I$1:$I$99,'[1]Track 3'!$F$1:$F$99,,2),"")),"")</f>
        <v>13:00-13:10</v>
      </c>
      <c r="J199" t="s">
        <v>710</v>
      </c>
    </row>
    <row r="200" spans="1:10" ht="14.25" customHeight="1" x14ac:dyDescent="0.35">
      <c r="A200">
        <v>199</v>
      </c>
      <c r="B200">
        <v>32199</v>
      </c>
      <c r="C200" t="s">
        <v>215</v>
      </c>
      <c r="D200" t="s">
        <v>216</v>
      </c>
      <c r="E200" s="6" t="s">
        <v>26</v>
      </c>
      <c r="F200" s="38" t="s">
        <v>219</v>
      </c>
      <c r="G200" s="3">
        <v>2</v>
      </c>
      <c r="H200" s="33" t="s">
        <v>167</v>
      </c>
      <c r="I200" t="str">
        <f>IF(H200="Track 3",IFERROR(_xlfn.XLOOKUP("*"&amp;LEFT(C200,FIND(" ",C200&amp;" ")-1)&amp;"*",'[1]Track 3'!$D$1:$D$99,'[1]Track 3'!$A$1:$A$99,,2),IFERROR(_xlfn.XLOOKUP("*"&amp;LEFT(C200,FIND(" ",C200&amp;" ")-1)&amp;"*",'[1]Track 3'!$I$1:$I$99,'[1]Track 3'!$F$1:$F$99,,2),"")),"")</f>
        <v/>
      </c>
      <c r="J200" t="s">
        <v>134</v>
      </c>
    </row>
    <row r="201" spans="1:10" ht="14.25" customHeight="1" x14ac:dyDescent="0.35">
      <c r="A201">
        <v>200</v>
      </c>
      <c r="B201">
        <v>32200</v>
      </c>
      <c r="C201" t="s">
        <v>220</v>
      </c>
      <c r="D201" t="s">
        <v>221</v>
      </c>
      <c r="E201" s="6" t="s">
        <v>12</v>
      </c>
      <c r="F201" s="38" t="s">
        <v>219</v>
      </c>
      <c r="G201" s="3">
        <v>2</v>
      </c>
      <c r="H201" s="33" t="s">
        <v>167</v>
      </c>
      <c r="I201" t="str">
        <f>IF(H201="Track 3",IFERROR(_xlfn.XLOOKUP("*"&amp;LEFT(C201,FIND(" ",C201&amp;" ")-1)&amp;"*",'[1]Track 3'!$D$1:$D$99,'[1]Track 3'!$A$1:$A$99,,2),IFERROR(_xlfn.XLOOKUP("*"&amp;LEFT(C201,FIND(" ",C201&amp;" ")-1)&amp;"*",'[1]Track 3'!$I$1:$I$99,'[1]Track 3'!$F$1:$F$99,,2),"")),"")</f>
        <v>12:40-12:50</v>
      </c>
      <c r="J201" t="s">
        <v>682</v>
      </c>
    </row>
    <row r="202" spans="1:10" ht="14.25" customHeight="1" x14ac:dyDescent="0.35">
      <c r="A202">
        <v>201</v>
      </c>
      <c r="B202">
        <v>32201</v>
      </c>
      <c r="C202" t="s">
        <v>222</v>
      </c>
      <c r="D202" t="s">
        <v>18</v>
      </c>
      <c r="E202" s="6" t="s">
        <v>12</v>
      </c>
      <c r="F202" s="38" t="s">
        <v>219</v>
      </c>
      <c r="G202" s="3">
        <v>2</v>
      </c>
      <c r="H202" s="33" t="s">
        <v>167</v>
      </c>
      <c r="I202" t="str">
        <f>IF(H202="Track 3",IFERROR(_xlfn.XLOOKUP("*"&amp;LEFT(C202,FIND(" ",C202&amp;" ")-1)&amp;"*",'[1]Track 3'!$D$1:$D$99,'[1]Track 3'!$A$1:$A$99,,2),IFERROR(_xlfn.XLOOKUP("*"&amp;LEFT(C202,FIND(" ",C202&amp;" ")-1)&amp;"*",'[1]Track 3'!$I$1:$I$99,'[1]Track 3'!$F$1:$F$99,,2),"")),"")</f>
        <v>12:50-13:00</v>
      </c>
      <c r="J202" t="s">
        <v>711</v>
      </c>
    </row>
    <row r="203" spans="1:10" ht="14.25" customHeight="1" x14ac:dyDescent="0.35">
      <c r="A203">
        <v>202</v>
      </c>
      <c r="B203">
        <v>32202</v>
      </c>
      <c r="C203" t="s">
        <v>223</v>
      </c>
      <c r="D203" t="s">
        <v>31</v>
      </c>
      <c r="E203" s="6" t="s">
        <v>12</v>
      </c>
      <c r="F203" s="38" t="s">
        <v>219</v>
      </c>
      <c r="G203" s="3">
        <v>2</v>
      </c>
      <c r="H203" s="33" t="s">
        <v>167</v>
      </c>
      <c r="I203" t="str">
        <f>IF(H203="Track 3",IFERROR(_xlfn.XLOOKUP("*"&amp;LEFT(C203,FIND(" ",C203&amp;" ")-1)&amp;"*",'[1]Track 3'!$D$1:$D$99,'[1]Track 3'!$A$1:$A$99,,2),IFERROR(_xlfn.XLOOKUP("*"&amp;LEFT(C203,FIND(" ",C203&amp;" ")-1)&amp;"*",'[1]Track 3'!$I$1:$I$99,'[1]Track 3'!$F$1:$F$99,,2),"")),"")</f>
        <v/>
      </c>
      <c r="J203" t="s">
        <v>134</v>
      </c>
    </row>
    <row r="204" spans="1:10" ht="14.25" customHeight="1" x14ac:dyDescent="0.35">
      <c r="A204">
        <v>203</v>
      </c>
      <c r="B204">
        <v>32203</v>
      </c>
      <c r="C204" t="s">
        <v>151</v>
      </c>
      <c r="D204" t="s">
        <v>73</v>
      </c>
      <c r="E204" s="6" t="s">
        <v>12</v>
      </c>
      <c r="F204" s="38" t="s">
        <v>219</v>
      </c>
      <c r="G204" s="3">
        <v>2</v>
      </c>
      <c r="H204" s="33" t="s">
        <v>167</v>
      </c>
      <c r="I204" t="str">
        <f>IF(H204="Track 3",IFERROR(_xlfn.XLOOKUP("*"&amp;LEFT(C204,FIND(" ",C204&amp;" ")-1)&amp;"*",'[1]Track 3'!$D$1:$D$99,'[1]Track 3'!$A$1:$A$99,,2),IFERROR(_xlfn.XLOOKUP("*"&amp;LEFT(C204,FIND(" ",C204&amp;" ")-1)&amp;"*",'[1]Track 3'!$I$1:$I$99,'[1]Track 3'!$F$1:$F$99,,2),"")),"")</f>
        <v>13:00-13:10</v>
      </c>
      <c r="J204" t="s">
        <v>710</v>
      </c>
    </row>
    <row r="205" spans="1:10" ht="14.25" customHeight="1" x14ac:dyDescent="0.35">
      <c r="A205">
        <v>204</v>
      </c>
      <c r="B205">
        <v>32204</v>
      </c>
      <c r="C205" t="s">
        <v>224</v>
      </c>
      <c r="D205" t="s">
        <v>18</v>
      </c>
      <c r="E205" s="6" t="s">
        <v>12</v>
      </c>
      <c r="F205" s="38" t="s">
        <v>219</v>
      </c>
      <c r="G205" s="3">
        <v>2</v>
      </c>
      <c r="H205" s="33" t="s">
        <v>167</v>
      </c>
      <c r="I205" t="str">
        <f>IF(H205="Track 3",IFERROR(_xlfn.XLOOKUP("*"&amp;LEFT(C205,FIND(" ",C205&amp;" ")-1)&amp;"*",'[1]Track 3'!$D$1:$D$99,'[1]Track 3'!$A$1:$A$99,,2),IFERROR(_xlfn.XLOOKUP("*"&amp;LEFT(C205,FIND(" ",C205&amp;" ")-1)&amp;"*",'[1]Track 3'!$I$1:$I$99,'[1]Track 3'!$F$1:$F$99,,2),"")),"")</f>
        <v>13:10-13:20</v>
      </c>
      <c r="J205" t="s">
        <v>712</v>
      </c>
    </row>
    <row r="206" spans="1:10" ht="14.25" customHeight="1" x14ac:dyDescent="0.35">
      <c r="A206">
        <v>205</v>
      </c>
      <c r="B206">
        <v>41205</v>
      </c>
      <c r="C206" t="s">
        <v>225</v>
      </c>
      <c r="D206" t="s">
        <v>226</v>
      </c>
      <c r="E206" s="6" t="s">
        <v>25</v>
      </c>
      <c r="F206" s="32" t="s">
        <v>227</v>
      </c>
      <c r="G206" s="3">
        <v>1</v>
      </c>
      <c r="H206" s="39" t="s">
        <v>228</v>
      </c>
      <c r="I206" t="str">
        <f>IF(H206="Track 4",IFERROR(_xlfn.XLOOKUP("*"&amp;LEFT(C206,FIND(" ",C206&amp;" ")-1)&amp;"*",'[1]Track 4'!$C$1:$C$99,'[1]Track 4'!$A$1:$A$99,,2),IFERROR(_xlfn.XLOOKUP("*"&amp;LEFT(C206,FIND(" ",C206&amp;" ")-1)&amp;"*",'[1]Track 4'!$H$1:$H$99,'[1]Track 4'!$F$1:$F$99,,2),"")),"")</f>
        <v>9.10 -9.20</v>
      </c>
      <c r="J206" t="s">
        <v>713</v>
      </c>
    </row>
    <row r="207" spans="1:10" ht="14.25" customHeight="1" x14ac:dyDescent="0.35">
      <c r="A207">
        <v>206</v>
      </c>
      <c r="B207">
        <v>41206</v>
      </c>
      <c r="C207" t="s">
        <v>229</v>
      </c>
      <c r="D207" t="s">
        <v>230</v>
      </c>
      <c r="E207" s="6" t="s">
        <v>86</v>
      </c>
      <c r="F207" s="32" t="s">
        <v>227</v>
      </c>
      <c r="G207" s="3">
        <v>1</v>
      </c>
      <c r="H207" s="39" t="s">
        <v>228</v>
      </c>
      <c r="I207" t="str">
        <f>IF(H207="Track 4",IFERROR(_xlfn.XLOOKUP("*"&amp;LEFT(C207,FIND(" ",C207&amp;" ")-1)&amp;"*",'[1]Track 4'!$C$1:$C$99,'[1]Track 4'!$A$1:$A$99,,2),IFERROR(_xlfn.XLOOKUP("*"&amp;LEFT(C207,FIND(" ",C207&amp;" ")-1)&amp;"*",'[1]Track 4'!$H$1:$H$99,'[1]Track 4'!$F$1:$F$99,,2),"")),"")</f>
        <v>9.00 -9.10</v>
      </c>
      <c r="J207" t="s">
        <v>714</v>
      </c>
    </row>
    <row r="208" spans="1:10" ht="14.25" customHeight="1" x14ac:dyDescent="0.35">
      <c r="A208">
        <v>207</v>
      </c>
      <c r="B208">
        <v>41207</v>
      </c>
      <c r="C208" t="s">
        <v>231</v>
      </c>
      <c r="D208" t="s">
        <v>16</v>
      </c>
      <c r="E208" s="6" t="s">
        <v>26</v>
      </c>
      <c r="F208" s="32" t="s">
        <v>227</v>
      </c>
      <c r="G208" s="3">
        <v>1</v>
      </c>
      <c r="H208" s="39" t="s">
        <v>228</v>
      </c>
      <c r="I208" t="str">
        <f>IF(H208="Track 4",IFERROR(_xlfn.XLOOKUP("*"&amp;LEFT(C208,FIND(" ",C208&amp;" ")-1)&amp;"*",'[1]Track 4'!$C$1:$C$99,'[1]Track 4'!$A$1:$A$99,,2),IFERROR(_xlfn.XLOOKUP("*"&amp;LEFT(C208,FIND(" ",C208&amp;" ")-1)&amp;"*",'[1]Track 4'!$H$1:$H$99,'[1]Track 4'!$F$1:$F$99,,2),"")),"")</f>
        <v xml:space="preserve">10.50 -11.00 </v>
      </c>
      <c r="J208" t="s">
        <v>715</v>
      </c>
    </row>
    <row r="209" spans="1:10" ht="14.25" customHeight="1" x14ac:dyDescent="0.35">
      <c r="A209">
        <v>208</v>
      </c>
      <c r="B209">
        <v>41208</v>
      </c>
      <c r="C209" t="s">
        <v>229</v>
      </c>
      <c r="D209" t="s">
        <v>230</v>
      </c>
      <c r="E209" s="6" t="s">
        <v>12</v>
      </c>
      <c r="F209" s="32" t="s">
        <v>227</v>
      </c>
      <c r="G209" s="3">
        <v>1</v>
      </c>
      <c r="H209" s="39" t="s">
        <v>228</v>
      </c>
      <c r="I209" t="str">
        <f>IF(H209="Track 4",IFERROR(_xlfn.XLOOKUP("*"&amp;LEFT(C209,FIND(" ",C209&amp;" ")-1)&amp;"*",'[1]Track 4'!$C$1:$C$99,'[1]Track 4'!$A$1:$A$99,,2),IFERROR(_xlfn.XLOOKUP("*"&amp;LEFT(C209,FIND(" ",C209&amp;" ")-1)&amp;"*",'[1]Track 4'!$H$1:$H$99,'[1]Track 4'!$F$1:$F$99,,2),"")),"")</f>
        <v>9.00 -9.10</v>
      </c>
      <c r="J209" t="s">
        <v>714</v>
      </c>
    </row>
    <row r="210" spans="1:10" ht="14.25" customHeight="1" x14ac:dyDescent="0.35">
      <c r="A210">
        <v>209</v>
      </c>
      <c r="B210">
        <v>41209</v>
      </c>
      <c r="C210" t="s">
        <v>225</v>
      </c>
      <c r="D210" t="s">
        <v>226</v>
      </c>
      <c r="E210" s="6" t="s">
        <v>12</v>
      </c>
      <c r="F210" s="32" t="s">
        <v>227</v>
      </c>
      <c r="G210" s="3">
        <v>1</v>
      </c>
      <c r="H210" s="39" t="s">
        <v>228</v>
      </c>
      <c r="I210" t="str">
        <f>IF(H210="Track 4",IFERROR(_xlfn.XLOOKUP("*"&amp;LEFT(C210,FIND(" ",C210&amp;" ")-1)&amp;"*",'[1]Track 4'!$C$1:$C$99,'[1]Track 4'!$A$1:$A$99,,2),IFERROR(_xlfn.XLOOKUP("*"&amp;LEFT(C210,FIND(" ",C210&amp;" ")-1)&amp;"*",'[1]Track 4'!$H$1:$H$99,'[1]Track 4'!$F$1:$F$99,,2),"")),"")</f>
        <v>9.10 -9.20</v>
      </c>
      <c r="J210" t="s">
        <v>713</v>
      </c>
    </row>
    <row r="211" spans="1:10" ht="14.25" customHeight="1" x14ac:dyDescent="0.35">
      <c r="A211">
        <v>210</v>
      </c>
      <c r="B211">
        <v>41210</v>
      </c>
      <c r="C211" t="s">
        <v>232</v>
      </c>
      <c r="D211" t="s">
        <v>16</v>
      </c>
      <c r="E211" s="6" t="s">
        <v>12</v>
      </c>
      <c r="F211" s="32" t="s">
        <v>227</v>
      </c>
      <c r="G211" s="3">
        <v>1</v>
      </c>
      <c r="H211" s="39" t="s">
        <v>228</v>
      </c>
      <c r="I211" t="str">
        <f>IF(H211="Track 4",IFERROR(_xlfn.XLOOKUP("*"&amp;LEFT(C211,FIND(" ",C211&amp;" ")-1)&amp;"*",'[1]Track 4'!$C$1:$C$99,'[1]Track 4'!$A$1:$A$99,,2),IFERROR(_xlfn.XLOOKUP("*"&amp;LEFT(C211,FIND(" ",C211&amp;" ")-1)&amp;"*",'[1]Track 4'!$H$1:$H$99,'[1]Track 4'!$F$1:$F$99,,2),"")),"")</f>
        <v>9.30 -9.50</v>
      </c>
      <c r="J211" t="s">
        <v>716</v>
      </c>
    </row>
    <row r="212" spans="1:10" ht="14.25" customHeight="1" x14ac:dyDescent="0.35">
      <c r="A212">
        <v>211</v>
      </c>
      <c r="B212">
        <v>41211</v>
      </c>
      <c r="C212" t="s">
        <v>232</v>
      </c>
      <c r="D212" t="s">
        <v>16</v>
      </c>
      <c r="E212" s="6" t="s">
        <v>92</v>
      </c>
      <c r="F212" s="32" t="s">
        <v>227</v>
      </c>
      <c r="G212" s="3">
        <v>1</v>
      </c>
      <c r="H212" s="39" t="s">
        <v>228</v>
      </c>
      <c r="I212" t="str">
        <f>IF(H212="Track 4",IFERROR(_xlfn.XLOOKUP("*"&amp;LEFT(C212,FIND(" ",C212&amp;" ")-1)&amp;"*",'[1]Track 4'!$C$1:$C$99,'[1]Track 4'!$A$1:$A$99,,2),IFERROR(_xlfn.XLOOKUP("*"&amp;LEFT(C212,FIND(" ",C212&amp;" ")-1)&amp;"*",'[1]Track 4'!$H$1:$H$99,'[1]Track 4'!$F$1:$F$99,,2),"")),"")</f>
        <v>9.30 -9.50</v>
      </c>
      <c r="J212" t="s">
        <v>716</v>
      </c>
    </row>
    <row r="213" spans="1:10" ht="14.25" customHeight="1" x14ac:dyDescent="0.35">
      <c r="A213">
        <v>212</v>
      </c>
      <c r="B213">
        <v>41212</v>
      </c>
      <c r="C213" t="s">
        <v>232</v>
      </c>
      <c r="D213" t="s">
        <v>16</v>
      </c>
      <c r="E213" s="6" t="s">
        <v>25</v>
      </c>
      <c r="F213" s="32" t="s">
        <v>233</v>
      </c>
      <c r="G213" s="3">
        <v>1</v>
      </c>
      <c r="H213" s="39" t="s">
        <v>228</v>
      </c>
      <c r="I213" t="str">
        <f>IF(H213="Track 4",IFERROR(_xlfn.XLOOKUP("*"&amp;LEFT(C213,FIND(" ",C213&amp;" ")-1)&amp;"*",'[1]Track 4'!$C$1:$C$99,'[1]Track 4'!$A$1:$A$99,,2),IFERROR(_xlfn.XLOOKUP("*"&amp;LEFT(C213,FIND(" ",C213&amp;" ")-1)&amp;"*",'[1]Track 4'!$H$1:$H$99,'[1]Track 4'!$F$1:$F$99,,2),"")),"")</f>
        <v>9.30 -9.50</v>
      </c>
      <c r="J213" t="s">
        <v>716</v>
      </c>
    </row>
    <row r="214" spans="1:10" ht="14.25" customHeight="1" x14ac:dyDescent="0.35">
      <c r="A214">
        <v>213</v>
      </c>
      <c r="B214">
        <v>41213</v>
      </c>
      <c r="C214" t="s">
        <v>234</v>
      </c>
      <c r="D214" t="s">
        <v>235</v>
      </c>
      <c r="E214" s="6" t="s">
        <v>86</v>
      </c>
      <c r="F214" s="32" t="s">
        <v>233</v>
      </c>
      <c r="G214" s="3">
        <v>1</v>
      </c>
      <c r="H214" s="39" t="s">
        <v>228</v>
      </c>
      <c r="I214" t="str">
        <f>IF(H214="Track 4",IFERROR(_xlfn.XLOOKUP("*"&amp;LEFT(C214,FIND(" ",C214&amp;" ")-1)&amp;"*",'[1]Track 4'!$C$1:$C$99,'[1]Track 4'!$A$1:$A$99,,2),IFERROR(_xlfn.XLOOKUP("*"&amp;LEFT(C214,FIND(" ",C214&amp;" ")-1)&amp;"*",'[1]Track 4'!$H$1:$H$99,'[1]Track 4'!$F$1:$F$99,,2),"")),"")</f>
        <v>14.50 -15.00</v>
      </c>
      <c r="J214" t="s">
        <v>717</v>
      </c>
    </row>
    <row r="215" spans="1:10" ht="14.25" customHeight="1" x14ac:dyDescent="0.35">
      <c r="A215">
        <v>214</v>
      </c>
      <c r="B215">
        <v>41214</v>
      </c>
      <c r="C215" t="s">
        <v>236</v>
      </c>
      <c r="D215" t="s">
        <v>16</v>
      </c>
      <c r="E215" s="6" t="s">
        <v>26</v>
      </c>
      <c r="F215" s="32" t="s">
        <v>233</v>
      </c>
      <c r="G215" s="3">
        <v>1</v>
      </c>
      <c r="H215" s="39" t="s">
        <v>228</v>
      </c>
      <c r="I215" t="str">
        <f>IF(H215="Track 4",IFERROR(_xlfn.XLOOKUP("*"&amp;LEFT(C215,FIND(" ",C215&amp;" ")-1)&amp;"*",'[1]Track 4'!$C$1:$C$99,'[1]Track 4'!$A$1:$A$99,,2),IFERROR(_xlfn.XLOOKUP("*"&amp;LEFT(C215,FIND(" ",C215&amp;" ")-1)&amp;"*",'[1]Track 4'!$H$1:$H$99,'[1]Track 4'!$F$1:$F$99,,2),"")),"")</f>
        <v/>
      </c>
      <c r="J215" t="s">
        <v>134</v>
      </c>
    </row>
    <row r="216" spans="1:10" ht="14.25" customHeight="1" x14ac:dyDescent="0.35">
      <c r="A216">
        <v>215</v>
      </c>
      <c r="B216">
        <v>41215</v>
      </c>
      <c r="C216" t="s">
        <v>237</v>
      </c>
      <c r="D216" t="s">
        <v>70</v>
      </c>
      <c r="E216" s="6" t="s">
        <v>12</v>
      </c>
      <c r="F216" s="32" t="s">
        <v>233</v>
      </c>
      <c r="G216" s="3">
        <v>1</v>
      </c>
      <c r="H216" s="39" t="s">
        <v>228</v>
      </c>
      <c r="I216" t="str">
        <f>IF(H216="Track 4",IFERROR(_xlfn.XLOOKUP("*"&amp;LEFT(C216,FIND(" ",C216&amp;" ")-1)&amp;"*",'[1]Track 4'!$C$1:$C$99,'[1]Track 4'!$A$1:$A$99,,2),IFERROR(_xlfn.XLOOKUP("*"&amp;LEFT(C216,FIND(" ",C216&amp;" ")-1)&amp;"*",'[1]Track 4'!$H$1:$H$99,'[1]Track 4'!$F$1:$F$99,,2),"")),"")</f>
        <v xml:space="preserve">10.20 - 10.35 </v>
      </c>
      <c r="J216" t="s">
        <v>718</v>
      </c>
    </row>
    <row r="217" spans="1:10" ht="14.25" customHeight="1" x14ac:dyDescent="0.35">
      <c r="A217">
        <v>216</v>
      </c>
      <c r="B217">
        <v>41216</v>
      </c>
      <c r="C217" t="s">
        <v>158</v>
      </c>
      <c r="D217" t="s">
        <v>238</v>
      </c>
      <c r="E217" s="6" t="s">
        <v>12</v>
      </c>
      <c r="F217" s="32" t="s">
        <v>233</v>
      </c>
      <c r="G217" s="3">
        <v>1</v>
      </c>
      <c r="H217" s="39" t="s">
        <v>228</v>
      </c>
      <c r="I217" t="str">
        <f>IF(H217="Track 4",IFERROR(_xlfn.XLOOKUP("*"&amp;LEFT(C217,FIND(" ",C217&amp;" ")-1)&amp;"*",'[1]Track 4'!$C$1:$C$99,'[1]Track 4'!$A$1:$A$99,,2),IFERROR(_xlfn.XLOOKUP("*"&amp;LEFT(C217,FIND(" ",C217&amp;" ")-1)&amp;"*",'[1]Track 4'!$H$1:$H$99,'[1]Track 4'!$F$1:$F$99,,2),"")),"")</f>
        <v xml:space="preserve">10.35 -10.50 </v>
      </c>
      <c r="J217" t="s">
        <v>719</v>
      </c>
    </row>
    <row r="218" spans="1:10" ht="14.25" customHeight="1" x14ac:dyDescent="0.35">
      <c r="A218">
        <v>217</v>
      </c>
      <c r="B218">
        <v>41217</v>
      </c>
      <c r="C218" t="s">
        <v>231</v>
      </c>
      <c r="D218" t="s">
        <v>16</v>
      </c>
      <c r="E218" s="6" t="s">
        <v>12</v>
      </c>
      <c r="F218" s="32" t="s">
        <v>233</v>
      </c>
      <c r="G218" s="3">
        <v>1</v>
      </c>
      <c r="H218" s="39" t="s">
        <v>228</v>
      </c>
      <c r="I218" t="str">
        <f>IF(H218="Track 4",IFERROR(_xlfn.XLOOKUP("*"&amp;LEFT(C218,FIND(" ",C218&amp;" ")-1)&amp;"*",'[1]Track 4'!$C$1:$C$99,'[1]Track 4'!$A$1:$A$99,,2),IFERROR(_xlfn.XLOOKUP("*"&amp;LEFT(C218,FIND(" ",C218&amp;" ")-1)&amp;"*",'[1]Track 4'!$H$1:$H$99,'[1]Track 4'!$F$1:$F$99,,2),"")),"")</f>
        <v xml:space="preserve">10.50 -11.00 </v>
      </c>
      <c r="J218" t="s">
        <v>715</v>
      </c>
    </row>
    <row r="219" spans="1:10" ht="14.25" customHeight="1" x14ac:dyDescent="0.35">
      <c r="A219">
        <v>218</v>
      </c>
      <c r="B219">
        <v>41218</v>
      </c>
      <c r="C219" t="s">
        <v>239</v>
      </c>
      <c r="D219" t="s">
        <v>20</v>
      </c>
      <c r="E219" s="6" t="s">
        <v>92</v>
      </c>
      <c r="F219" s="32" t="s">
        <v>233</v>
      </c>
      <c r="G219" s="3">
        <v>1</v>
      </c>
      <c r="H219" s="39" t="s">
        <v>228</v>
      </c>
      <c r="I219" t="str">
        <f>IF(H219="Track 4",IFERROR(_xlfn.XLOOKUP("*"&amp;LEFT(C219,FIND(" ",C219&amp;" ")-1)&amp;"*",'[1]Track 4'!$C$1:$C$99,'[1]Track 4'!$A$1:$A$99,,2),IFERROR(_xlfn.XLOOKUP("*"&amp;LEFT(C219,FIND(" ",C219&amp;" ")-1)&amp;"*",'[1]Track 4'!$H$1:$H$99,'[1]Track 4'!$F$1:$F$99,,2),"")),"")</f>
        <v>9.00 -9.10</v>
      </c>
      <c r="J219" t="s">
        <v>714</v>
      </c>
    </row>
    <row r="220" spans="1:10" ht="14.25" customHeight="1" x14ac:dyDescent="0.35">
      <c r="A220">
        <v>219</v>
      </c>
      <c r="B220">
        <v>41219</v>
      </c>
      <c r="C220" t="s">
        <v>239</v>
      </c>
      <c r="D220" t="s">
        <v>20</v>
      </c>
      <c r="E220" s="6" t="s">
        <v>25</v>
      </c>
      <c r="F220" s="32" t="s">
        <v>240</v>
      </c>
      <c r="G220" s="3">
        <v>1</v>
      </c>
      <c r="H220" s="39" t="s">
        <v>228</v>
      </c>
      <c r="I220" t="str">
        <f>IF(H220="Track 4",IFERROR(_xlfn.XLOOKUP("*"&amp;LEFT(C220,FIND(" ",C220&amp;" ")-1)&amp;"*",'[1]Track 4'!$C$1:$C$99,'[1]Track 4'!$A$1:$A$99,,2),IFERROR(_xlfn.XLOOKUP("*"&amp;LEFT(C220,FIND(" ",C220&amp;" ")-1)&amp;"*",'[1]Track 4'!$H$1:$H$99,'[1]Track 4'!$F$1:$F$99,,2),"")),"")</f>
        <v>9.00 -9.10</v>
      </c>
      <c r="J220" t="s">
        <v>714</v>
      </c>
    </row>
    <row r="221" spans="1:10" ht="14.25" customHeight="1" x14ac:dyDescent="0.35">
      <c r="A221">
        <v>220</v>
      </c>
      <c r="B221">
        <v>41220</v>
      </c>
      <c r="C221" t="s">
        <v>241</v>
      </c>
      <c r="D221" t="s">
        <v>16</v>
      </c>
      <c r="E221" s="6" t="s">
        <v>86</v>
      </c>
      <c r="F221" s="32" t="s">
        <v>240</v>
      </c>
      <c r="G221" s="3">
        <v>1</v>
      </c>
      <c r="H221" s="39" t="s">
        <v>228</v>
      </c>
      <c r="I221" t="str">
        <f>IF(H221="Track 4",IFERROR(_xlfn.XLOOKUP("*"&amp;LEFT(C221,FIND(" ",C221&amp;" ")-1)&amp;"*",'[1]Track 4'!$C$1:$C$99,'[1]Track 4'!$A$1:$A$99,,2),IFERROR(_xlfn.XLOOKUP("*"&amp;LEFT(C221,FIND(" ",C221&amp;" ")-1)&amp;"*",'[1]Track 4'!$H$1:$H$99,'[1]Track 4'!$F$1:$F$99,,2),"")),"")</f>
        <v>9.20-9.30</v>
      </c>
      <c r="J221" t="s">
        <v>720</v>
      </c>
    </row>
    <row r="222" spans="1:10" ht="14.25" customHeight="1" x14ac:dyDescent="0.35">
      <c r="A222">
        <v>221</v>
      </c>
      <c r="B222">
        <v>41221</v>
      </c>
      <c r="C222" t="s">
        <v>242</v>
      </c>
      <c r="D222" t="s">
        <v>16</v>
      </c>
      <c r="E222" s="6" t="s">
        <v>26</v>
      </c>
      <c r="F222" s="32" t="s">
        <v>240</v>
      </c>
      <c r="G222" s="3">
        <v>1</v>
      </c>
      <c r="H222" s="39" t="s">
        <v>228</v>
      </c>
      <c r="I222" t="str">
        <f>IF(H222="Track 4",IFERROR(_xlfn.XLOOKUP("*"&amp;LEFT(C222,FIND(" ",C222&amp;" ")-1)&amp;"*",'[1]Track 4'!$C$1:$C$99,'[1]Track 4'!$A$1:$A$99,,2),IFERROR(_xlfn.XLOOKUP("*"&amp;LEFT(C222,FIND(" ",C222&amp;" ")-1)&amp;"*",'[1]Track 4'!$H$1:$H$99,'[1]Track 4'!$F$1:$F$99,,2),"")),"")</f>
        <v/>
      </c>
      <c r="J222" t="s">
        <v>134</v>
      </c>
    </row>
    <row r="223" spans="1:10" ht="14.25" customHeight="1" x14ac:dyDescent="0.35">
      <c r="A223">
        <v>222</v>
      </c>
      <c r="B223">
        <v>41222</v>
      </c>
      <c r="C223" t="s">
        <v>243</v>
      </c>
      <c r="D223" t="s">
        <v>235</v>
      </c>
      <c r="E223" s="6" t="s">
        <v>12</v>
      </c>
      <c r="F223" s="32" t="s">
        <v>240</v>
      </c>
      <c r="G223" s="3">
        <v>1</v>
      </c>
      <c r="H223" s="39" t="s">
        <v>228</v>
      </c>
      <c r="I223" t="str">
        <f>IF(H223="Track 4",IFERROR(_xlfn.XLOOKUP("*"&amp;LEFT(C223,FIND(" ",C223&amp;" ")-1)&amp;"*",'[1]Track 4'!$C$1:$C$99,'[1]Track 4'!$A$1:$A$99,,2),IFERROR(_xlfn.XLOOKUP("*"&amp;LEFT(C223,FIND(" ",C223&amp;" ")-1)&amp;"*",'[1]Track 4'!$H$1:$H$99,'[1]Track 4'!$F$1:$F$99,,2),"")),"")</f>
        <v xml:space="preserve">11.00 -11.20 </v>
      </c>
      <c r="J223" t="s">
        <v>721</v>
      </c>
    </row>
    <row r="224" spans="1:10" ht="14.25" customHeight="1" x14ac:dyDescent="0.35">
      <c r="A224">
        <v>223</v>
      </c>
      <c r="B224">
        <v>41223</v>
      </c>
      <c r="C224" t="s">
        <v>244</v>
      </c>
      <c r="D224" t="s">
        <v>245</v>
      </c>
      <c r="E224" s="6" t="s">
        <v>12</v>
      </c>
      <c r="F224" s="32" t="s">
        <v>240</v>
      </c>
      <c r="G224" s="3">
        <v>1</v>
      </c>
      <c r="H224" s="39" t="s">
        <v>228</v>
      </c>
      <c r="I224" t="str">
        <f>IF(H224="Track 4",IFERROR(_xlfn.XLOOKUP("*"&amp;LEFT(C224,FIND(" ",C224&amp;" ")-1)&amp;"*",'[1]Track 4'!$C$1:$C$99,'[1]Track 4'!$A$1:$A$99,,2),IFERROR(_xlfn.XLOOKUP("*"&amp;LEFT(C224,FIND(" ",C224&amp;" ")-1)&amp;"*",'[1]Track 4'!$H$1:$H$99,'[1]Track 4'!$F$1:$F$99,,2),"")),"")</f>
        <v/>
      </c>
      <c r="J224" t="s">
        <v>134</v>
      </c>
    </row>
    <row r="225" spans="1:10" ht="14.25" customHeight="1" x14ac:dyDescent="0.35">
      <c r="A225">
        <v>224</v>
      </c>
      <c r="B225">
        <v>41224</v>
      </c>
      <c r="C225" t="s">
        <v>234</v>
      </c>
      <c r="D225" t="s">
        <v>235</v>
      </c>
      <c r="E225" s="6" t="s">
        <v>12</v>
      </c>
      <c r="F225" s="32" t="s">
        <v>240</v>
      </c>
      <c r="G225" s="3">
        <v>1</v>
      </c>
      <c r="H225" s="39" t="s">
        <v>228</v>
      </c>
      <c r="I225" t="str">
        <f>IF(H225="Track 4",IFERROR(_xlfn.XLOOKUP("*"&amp;LEFT(C225,FIND(" ",C225&amp;" ")-1)&amp;"*",'[1]Track 4'!$C$1:$C$99,'[1]Track 4'!$A$1:$A$99,,2),IFERROR(_xlfn.XLOOKUP("*"&amp;LEFT(C225,FIND(" ",C225&amp;" ")-1)&amp;"*",'[1]Track 4'!$H$1:$H$99,'[1]Track 4'!$F$1:$F$99,,2),"")),"")</f>
        <v>14.50 -15.00</v>
      </c>
      <c r="J225" t="s">
        <v>717</v>
      </c>
    </row>
    <row r="226" spans="1:10" ht="14.25" customHeight="1" x14ac:dyDescent="0.35">
      <c r="A226">
        <v>225</v>
      </c>
      <c r="B226">
        <v>41225</v>
      </c>
      <c r="C226" t="s">
        <v>225</v>
      </c>
      <c r="D226" t="s">
        <v>226</v>
      </c>
      <c r="E226" s="6" t="s">
        <v>12</v>
      </c>
      <c r="F226" s="32" t="s">
        <v>240</v>
      </c>
      <c r="G226" s="3">
        <v>1</v>
      </c>
      <c r="H226" s="39" t="s">
        <v>228</v>
      </c>
      <c r="I226" t="str">
        <f>IF(H226="Track 4",IFERROR(_xlfn.XLOOKUP("*"&amp;LEFT(C226,FIND(" ",C226&amp;" ")-1)&amp;"*",'[1]Track 4'!$C$1:$C$99,'[1]Track 4'!$A$1:$A$99,,2),IFERROR(_xlfn.XLOOKUP("*"&amp;LEFT(C226,FIND(" ",C226&amp;" ")-1)&amp;"*",'[1]Track 4'!$H$1:$H$99,'[1]Track 4'!$F$1:$F$99,,2),"")),"")</f>
        <v>9.10 -9.20</v>
      </c>
      <c r="J226" t="s">
        <v>713</v>
      </c>
    </row>
    <row r="227" spans="1:10" ht="14.25" customHeight="1" x14ac:dyDescent="0.35">
      <c r="A227">
        <v>226</v>
      </c>
      <c r="B227">
        <v>41226</v>
      </c>
      <c r="C227" t="s">
        <v>246</v>
      </c>
      <c r="D227" t="s">
        <v>247</v>
      </c>
      <c r="E227" s="6" t="s">
        <v>12</v>
      </c>
      <c r="F227" s="32" t="s">
        <v>240</v>
      </c>
      <c r="G227" s="19">
        <v>1</v>
      </c>
      <c r="H227" s="39" t="s">
        <v>228</v>
      </c>
      <c r="I227" t="str">
        <f>IF(H227="Track 4",IFERROR(_xlfn.XLOOKUP("*"&amp;LEFT(C227,FIND(" ",C227&amp;" ")-1)&amp;"*",'[1]Track 4'!$C$1:$C$99,'[1]Track 4'!$A$1:$A$99,,2),IFERROR(_xlfn.XLOOKUP("*"&amp;LEFT(C227,FIND(" ",C227&amp;" ")-1)&amp;"*",'[1]Track 4'!$H$1:$H$99,'[1]Track 4'!$F$1:$F$99,,2),"")),"")</f>
        <v/>
      </c>
      <c r="J227" s="36" t="s">
        <v>134</v>
      </c>
    </row>
    <row r="228" spans="1:10" ht="14.25" customHeight="1" x14ac:dyDescent="0.35">
      <c r="A228">
        <v>227</v>
      </c>
      <c r="B228">
        <v>41227</v>
      </c>
      <c r="C228" t="s">
        <v>248</v>
      </c>
      <c r="D228" t="s">
        <v>20</v>
      </c>
      <c r="E228" s="6" t="s">
        <v>12</v>
      </c>
      <c r="F228" s="32" t="s">
        <v>240</v>
      </c>
      <c r="G228" s="19">
        <v>1</v>
      </c>
      <c r="H228" s="39" t="s">
        <v>228</v>
      </c>
      <c r="I228" t="str">
        <f>IF(H228="Track 4",IFERROR(_xlfn.XLOOKUP("*"&amp;LEFT(C228,FIND(" ",C228&amp;" ")-1)&amp;"*",'[1]Track 4'!$C$1:$C$99,'[1]Track 4'!$A$1:$A$99,,2),IFERROR(_xlfn.XLOOKUP("*"&amp;LEFT(C228,FIND(" ",C228&amp;" ")-1)&amp;"*",'[1]Track 4'!$H$1:$H$99,'[1]Track 4'!$F$1:$F$99,,2),"")),"")</f>
        <v xml:space="preserve">15.20 -15.30 </v>
      </c>
      <c r="J228" t="s">
        <v>722</v>
      </c>
    </row>
    <row r="229" spans="1:10" ht="14.25" customHeight="1" x14ac:dyDescent="0.35">
      <c r="A229">
        <v>228</v>
      </c>
      <c r="B229">
        <v>41228</v>
      </c>
      <c r="C229" t="s">
        <v>224</v>
      </c>
      <c r="D229" t="s">
        <v>18</v>
      </c>
      <c r="E229" s="6" t="s">
        <v>12</v>
      </c>
      <c r="F229" s="32" t="s">
        <v>240</v>
      </c>
      <c r="G229" s="19">
        <v>1</v>
      </c>
      <c r="H229" s="39" t="s">
        <v>228</v>
      </c>
      <c r="I229" t="str">
        <f>IF(H229="Track 4",IFERROR(_xlfn.XLOOKUP("*"&amp;LEFT(C229,FIND(" ",C229&amp;" ")-1)&amp;"*",'[1]Track 4'!$C$1:$C$99,'[1]Track 4'!$A$1:$A$99,,2),IFERROR(_xlfn.XLOOKUP("*"&amp;LEFT(C229,FIND(" ",C229&amp;" ")-1)&amp;"*",'[1]Track 4'!$H$1:$H$99,'[1]Track 4'!$F$1:$F$99,,2),"")),"")</f>
        <v xml:space="preserve">15.30 -15.40 </v>
      </c>
      <c r="J229" t="s">
        <v>723</v>
      </c>
    </row>
    <row r="230" spans="1:10" ht="14.25" customHeight="1" x14ac:dyDescent="0.35">
      <c r="A230">
        <v>229</v>
      </c>
      <c r="B230">
        <v>41229</v>
      </c>
      <c r="C230" t="s">
        <v>249</v>
      </c>
      <c r="D230" t="s">
        <v>20</v>
      </c>
      <c r="E230" s="6" t="s">
        <v>92</v>
      </c>
      <c r="F230" s="32" t="s">
        <v>240</v>
      </c>
      <c r="G230" s="19">
        <v>1</v>
      </c>
      <c r="H230" s="39" t="s">
        <v>228</v>
      </c>
      <c r="I230" t="str">
        <f>IF(H230="Track 4",IFERROR(_xlfn.XLOOKUP("*"&amp;LEFT(C230,FIND(" ",C230&amp;" ")-1)&amp;"*",'[1]Track 4'!$C$1:$C$99,'[1]Track 4'!$A$1:$A$99,,2),IFERROR(_xlfn.XLOOKUP("*"&amp;LEFT(C230,FIND(" ",C230&amp;" ")-1)&amp;"*",'[1]Track 4'!$H$1:$H$99,'[1]Track 4'!$F$1:$F$99,,2),"")),"")</f>
        <v>9.00 -9.10</v>
      </c>
      <c r="J230" t="s">
        <v>714</v>
      </c>
    </row>
    <row r="231" spans="1:10" ht="14.25" customHeight="1" x14ac:dyDescent="0.35">
      <c r="A231">
        <v>230</v>
      </c>
      <c r="B231">
        <v>42230</v>
      </c>
      <c r="C231" t="s">
        <v>250</v>
      </c>
      <c r="D231" t="s">
        <v>18</v>
      </c>
      <c r="E231" s="6" t="s">
        <v>25</v>
      </c>
      <c r="F231" s="32" t="s">
        <v>251</v>
      </c>
      <c r="G231" s="19">
        <v>2</v>
      </c>
      <c r="H231" s="39" t="s">
        <v>228</v>
      </c>
      <c r="I231" t="str">
        <f>IF(H231="Track 4",IFERROR(_xlfn.XLOOKUP("*"&amp;LEFT(C231,FIND(" ",C231&amp;" ")-1)&amp;"*",'[1]Track 4'!$C$1:$C$99,'[1]Track 4'!$A$1:$A$99,,2),IFERROR(_xlfn.XLOOKUP("*"&amp;LEFT(C231,FIND(" ",C231&amp;" ")-1)&amp;"*",'[1]Track 4'!$H$1:$H$99,'[1]Track 4'!$F$1:$F$99,,2),"")),"")</f>
        <v xml:space="preserve">9.00 -9.10 </v>
      </c>
      <c r="J231" t="s">
        <v>724</v>
      </c>
    </row>
    <row r="232" spans="1:10" ht="14.25" customHeight="1" x14ac:dyDescent="0.35">
      <c r="A232">
        <v>231</v>
      </c>
      <c r="B232">
        <v>42231</v>
      </c>
      <c r="C232" t="s">
        <v>252</v>
      </c>
      <c r="D232" t="s">
        <v>33</v>
      </c>
      <c r="E232" s="6" t="s">
        <v>86</v>
      </c>
      <c r="F232" s="32" t="s">
        <v>251</v>
      </c>
      <c r="G232" s="19">
        <v>2</v>
      </c>
      <c r="H232" s="39" t="s">
        <v>228</v>
      </c>
      <c r="I232" t="str">
        <f>IF(H232="Track 4",IFERROR(_xlfn.XLOOKUP("*"&amp;LEFT(C232,FIND(" ",C232&amp;" ")-1)&amp;"*",'[1]Track 4'!$C$1:$C$99,'[1]Track 4'!$A$1:$A$99,,2),IFERROR(_xlfn.XLOOKUP("*"&amp;LEFT(C232,FIND(" ",C232&amp;" ")-1)&amp;"*",'[1]Track 4'!$H$1:$H$99,'[1]Track 4'!$F$1:$F$99,,2),"")),"")</f>
        <v xml:space="preserve">10.20 - 10.30 </v>
      </c>
      <c r="J232" t="s">
        <v>725</v>
      </c>
    </row>
    <row r="233" spans="1:10" ht="14.25" customHeight="1" x14ac:dyDescent="0.35">
      <c r="A233">
        <v>232</v>
      </c>
      <c r="B233">
        <v>42232</v>
      </c>
      <c r="C233" t="s">
        <v>253</v>
      </c>
      <c r="D233" t="s">
        <v>31</v>
      </c>
      <c r="E233" s="6" t="s">
        <v>26</v>
      </c>
      <c r="F233" s="32" t="s">
        <v>251</v>
      </c>
      <c r="G233" s="19">
        <v>2</v>
      </c>
      <c r="H233" s="39" t="s">
        <v>228</v>
      </c>
      <c r="I233" t="str">
        <f>IF(H233="Track 4",IFERROR(_xlfn.XLOOKUP("*"&amp;LEFT(C233,FIND(" ",C233&amp;" ")-1)&amp;"*",'[1]Track 4'!$C$1:$C$99,'[1]Track 4'!$A$1:$A$99,,2),IFERROR(_xlfn.XLOOKUP("*"&amp;LEFT(C233,FIND(" ",C233&amp;" ")-1)&amp;"*",'[1]Track 4'!$H$1:$H$99,'[1]Track 4'!$F$1:$F$99,,2),"")),"")</f>
        <v xml:space="preserve">10.30 -10.40 </v>
      </c>
      <c r="J233" t="s">
        <v>726</v>
      </c>
    </row>
    <row r="234" spans="1:10" ht="14.25" customHeight="1" x14ac:dyDescent="0.35">
      <c r="A234">
        <v>233</v>
      </c>
      <c r="B234">
        <v>42233</v>
      </c>
      <c r="C234" t="s">
        <v>250</v>
      </c>
      <c r="D234" t="s">
        <v>18</v>
      </c>
      <c r="E234" s="6" t="s">
        <v>12</v>
      </c>
      <c r="F234" s="32" t="s">
        <v>251</v>
      </c>
      <c r="G234" s="19">
        <v>2</v>
      </c>
      <c r="H234" s="39" t="s">
        <v>228</v>
      </c>
      <c r="I234" t="str">
        <f>IF(H234="Track 4",IFERROR(_xlfn.XLOOKUP("*"&amp;LEFT(C234,FIND(" ",C234&amp;" ")-1)&amp;"*",'[1]Track 4'!$C$1:$C$99,'[1]Track 4'!$A$1:$A$99,,2),IFERROR(_xlfn.XLOOKUP("*"&amp;LEFT(C234,FIND(" ",C234&amp;" ")-1)&amp;"*",'[1]Track 4'!$H$1:$H$99,'[1]Track 4'!$F$1:$F$99,,2),"")),"")</f>
        <v xml:space="preserve">9.00 -9.10 </v>
      </c>
      <c r="J234" t="s">
        <v>724</v>
      </c>
    </row>
    <row r="235" spans="1:10" ht="14.25" customHeight="1" x14ac:dyDescent="0.35">
      <c r="A235">
        <v>234</v>
      </c>
      <c r="B235">
        <v>42234</v>
      </c>
      <c r="C235" t="s">
        <v>254</v>
      </c>
      <c r="D235" t="s">
        <v>16</v>
      </c>
      <c r="E235" s="6" t="s">
        <v>12</v>
      </c>
      <c r="F235" s="32" t="s">
        <v>251</v>
      </c>
      <c r="G235" s="19">
        <v>2</v>
      </c>
      <c r="H235" s="39" t="s">
        <v>228</v>
      </c>
      <c r="I235" t="str">
        <f>IF(H235="Track 4",IFERROR(_xlfn.XLOOKUP("*"&amp;LEFT(C235,FIND(" ",C235&amp;" ")-1)&amp;"*",'[1]Track 4'!$C$1:$C$99,'[1]Track 4'!$A$1:$A$99,,2),IFERROR(_xlfn.XLOOKUP("*"&amp;LEFT(C235,FIND(" ",C235&amp;" ")-1)&amp;"*",'[1]Track 4'!$H$1:$H$99,'[1]Track 4'!$F$1:$F$99,,2),"")),"")</f>
        <v xml:space="preserve">9.10 -9.20 </v>
      </c>
      <c r="J235" t="s">
        <v>727</v>
      </c>
    </row>
    <row r="236" spans="1:10" ht="14.25" customHeight="1" x14ac:dyDescent="0.35">
      <c r="A236">
        <v>235</v>
      </c>
      <c r="B236">
        <v>42235</v>
      </c>
      <c r="C236" t="s">
        <v>255</v>
      </c>
      <c r="D236" t="s">
        <v>73</v>
      </c>
      <c r="E236" s="6" t="s">
        <v>12</v>
      </c>
      <c r="F236" s="32" t="s">
        <v>251</v>
      </c>
      <c r="G236" s="19">
        <v>2</v>
      </c>
      <c r="H236" s="39" t="s">
        <v>228</v>
      </c>
      <c r="I236" t="str">
        <f>IF(H236="Track 4",IFERROR(_xlfn.XLOOKUP("*"&amp;LEFT(C236,FIND(" ",C236&amp;" ")-1)&amp;"*",'[1]Track 4'!$C$1:$C$99,'[1]Track 4'!$A$1:$A$99,,2),IFERROR(_xlfn.XLOOKUP("*"&amp;LEFT(C236,FIND(" ",C236&amp;" ")-1)&amp;"*",'[1]Track 4'!$H$1:$H$99,'[1]Track 4'!$F$1:$F$99,,2),"")),"")</f>
        <v>Round-2</v>
      </c>
      <c r="J236" t="s">
        <v>728</v>
      </c>
    </row>
    <row r="237" spans="1:10" ht="14.25" customHeight="1" x14ac:dyDescent="0.35">
      <c r="A237">
        <v>236</v>
      </c>
      <c r="B237">
        <v>42236</v>
      </c>
      <c r="C237" t="s">
        <v>256</v>
      </c>
      <c r="D237" t="s">
        <v>39</v>
      </c>
      <c r="E237" s="6" t="s">
        <v>12</v>
      </c>
      <c r="F237" s="32" t="s">
        <v>251</v>
      </c>
      <c r="G237" s="19">
        <v>2</v>
      </c>
      <c r="H237" s="39" t="s">
        <v>228</v>
      </c>
      <c r="I237" t="str">
        <f>IF(H237="Track 4",IFERROR(_xlfn.XLOOKUP("*"&amp;LEFT(C237,FIND(" ",C237&amp;" ")-1)&amp;"*",'[1]Track 4'!$C$1:$C$99,'[1]Track 4'!$A$1:$A$99,,2),IFERROR(_xlfn.XLOOKUP("*"&amp;LEFT(C237,FIND(" ",C237&amp;" ")-1)&amp;"*",'[1]Track 4'!$H$1:$H$99,'[1]Track 4'!$F$1:$F$99,,2),"")),"")</f>
        <v xml:space="preserve">9.30 -9.40 </v>
      </c>
      <c r="J237" t="s">
        <v>729</v>
      </c>
    </row>
    <row r="238" spans="1:10" ht="14.25" customHeight="1" x14ac:dyDescent="0.35">
      <c r="A238">
        <v>237</v>
      </c>
      <c r="B238">
        <v>42237</v>
      </c>
      <c r="C238" t="s">
        <v>257</v>
      </c>
      <c r="D238" t="s">
        <v>18</v>
      </c>
      <c r="E238" s="6" t="s">
        <v>12</v>
      </c>
      <c r="F238" s="32" t="s">
        <v>251</v>
      </c>
      <c r="G238" s="19">
        <v>2</v>
      </c>
      <c r="H238" s="39" t="s">
        <v>228</v>
      </c>
      <c r="I238" t="str">
        <f>IF(H238="Track 4",IFERROR(_xlfn.XLOOKUP("*"&amp;LEFT(C238,FIND(" ",C238&amp;" ")-1)&amp;"*",'[1]Track 4'!$C$1:$C$99,'[1]Track 4'!$A$1:$A$99,,2),IFERROR(_xlfn.XLOOKUP("*"&amp;LEFT(C238,FIND(" ",C238&amp;" ")-1)&amp;"*",'[1]Track 4'!$H$1:$H$99,'[1]Track 4'!$F$1:$F$99,,2),"")),"")</f>
        <v xml:space="preserve">9.40 -9.50 </v>
      </c>
      <c r="J238" t="s">
        <v>730</v>
      </c>
    </row>
    <row r="239" spans="1:10" ht="14.25" customHeight="1" x14ac:dyDescent="0.35">
      <c r="A239">
        <v>238</v>
      </c>
      <c r="B239">
        <v>42238</v>
      </c>
      <c r="C239" t="s">
        <v>252</v>
      </c>
      <c r="D239" t="s">
        <v>33</v>
      </c>
      <c r="E239" s="6" t="s">
        <v>12</v>
      </c>
      <c r="F239" s="32" t="s">
        <v>251</v>
      </c>
      <c r="G239" s="19">
        <v>2</v>
      </c>
      <c r="H239" s="39" t="s">
        <v>228</v>
      </c>
      <c r="I239" t="str">
        <f>IF(H239="Track 4",IFERROR(_xlfn.XLOOKUP("*"&amp;LEFT(C239,FIND(" ",C239&amp;" ")-1)&amp;"*",'[1]Track 4'!$C$1:$C$99,'[1]Track 4'!$A$1:$A$99,,2),IFERROR(_xlfn.XLOOKUP("*"&amp;LEFT(C239,FIND(" ",C239&amp;" ")-1)&amp;"*",'[1]Track 4'!$H$1:$H$99,'[1]Track 4'!$F$1:$F$99,,2),"")),"")</f>
        <v xml:space="preserve">10.20 - 10.30 </v>
      </c>
      <c r="J239" t="s">
        <v>725</v>
      </c>
    </row>
    <row r="240" spans="1:10" ht="14.25" customHeight="1" x14ac:dyDescent="0.35">
      <c r="A240">
        <v>239</v>
      </c>
      <c r="B240">
        <v>42239</v>
      </c>
      <c r="C240" t="s">
        <v>253</v>
      </c>
      <c r="D240" t="s">
        <v>31</v>
      </c>
      <c r="E240" s="6" t="s">
        <v>12</v>
      </c>
      <c r="F240" s="32" t="s">
        <v>251</v>
      </c>
      <c r="G240" s="19">
        <v>2</v>
      </c>
      <c r="H240" s="39" t="s">
        <v>228</v>
      </c>
      <c r="I240" t="str">
        <f>IF(H240="Track 4",IFERROR(_xlfn.XLOOKUP("*"&amp;LEFT(C240,FIND(" ",C240&amp;" ")-1)&amp;"*",'[1]Track 4'!$C$1:$C$99,'[1]Track 4'!$A$1:$A$99,,2),IFERROR(_xlfn.XLOOKUP("*"&amp;LEFT(C240,FIND(" ",C240&amp;" ")-1)&amp;"*",'[1]Track 4'!$H$1:$H$99,'[1]Track 4'!$F$1:$F$99,,2),"")),"")</f>
        <v xml:space="preserve">10.30 -10.40 </v>
      </c>
      <c r="J240" t="s">
        <v>726</v>
      </c>
    </row>
    <row r="241" spans="1:10" ht="14.25" customHeight="1" x14ac:dyDescent="0.35">
      <c r="A241">
        <v>240</v>
      </c>
      <c r="B241">
        <v>42240</v>
      </c>
      <c r="C241" t="s">
        <v>258</v>
      </c>
      <c r="D241" t="s">
        <v>11</v>
      </c>
      <c r="E241" s="6" t="s">
        <v>12</v>
      </c>
      <c r="F241" s="32" t="s">
        <v>251</v>
      </c>
      <c r="G241" s="19">
        <v>2</v>
      </c>
      <c r="H241" s="39" t="s">
        <v>228</v>
      </c>
      <c r="I241" t="str">
        <f>IF(H241="Track 4",IFERROR(_xlfn.XLOOKUP("*"&amp;LEFT(C241,FIND(" ",C241&amp;" ")-1)&amp;"*",'[1]Track 4'!$C$1:$C$99,'[1]Track 4'!$A$1:$A$99,,2),IFERROR(_xlfn.XLOOKUP("*"&amp;LEFT(C241,FIND(" ",C241&amp;" ")-1)&amp;"*",'[1]Track 4'!$H$1:$H$99,'[1]Track 4'!$F$1:$F$99,,2),"")),"")</f>
        <v xml:space="preserve">10.40 -10.50 </v>
      </c>
      <c r="J241" t="s">
        <v>731</v>
      </c>
    </row>
    <row r="242" spans="1:10" ht="14.25" customHeight="1" x14ac:dyDescent="0.35">
      <c r="A242">
        <v>241</v>
      </c>
      <c r="B242">
        <v>42241</v>
      </c>
      <c r="C242" t="s">
        <v>259</v>
      </c>
      <c r="D242" t="s">
        <v>94</v>
      </c>
      <c r="E242" s="6" t="s">
        <v>12</v>
      </c>
      <c r="F242" s="32" t="s">
        <v>251</v>
      </c>
      <c r="G242" s="19">
        <v>2</v>
      </c>
      <c r="H242" s="39" t="s">
        <v>228</v>
      </c>
      <c r="I242" t="str">
        <f>IF(H242="Track 4",IFERROR(_xlfn.XLOOKUP("*"&amp;LEFT(C242,FIND(" ",C242&amp;" ")-1)&amp;"*",'[1]Track 4'!$C$1:$C$99,'[1]Track 4'!$A$1:$A$99,,2),IFERROR(_xlfn.XLOOKUP("*"&amp;LEFT(C242,FIND(" ",C242&amp;" ")-1)&amp;"*",'[1]Track 4'!$H$1:$H$99,'[1]Track 4'!$F$1:$F$99,,2),"")),"")</f>
        <v xml:space="preserve">10.50 -11.00 </v>
      </c>
      <c r="J242" t="s">
        <v>732</v>
      </c>
    </row>
    <row r="243" spans="1:10" ht="14.25" customHeight="1" x14ac:dyDescent="0.35">
      <c r="A243">
        <v>242</v>
      </c>
      <c r="B243">
        <v>42242</v>
      </c>
      <c r="C243" t="s">
        <v>260</v>
      </c>
      <c r="D243" t="s">
        <v>18</v>
      </c>
      <c r="E243" s="6" t="s">
        <v>12</v>
      </c>
      <c r="F243" s="32" t="s">
        <v>251</v>
      </c>
      <c r="G243" s="19">
        <v>2</v>
      </c>
      <c r="H243" s="39" t="s">
        <v>228</v>
      </c>
      <c r="I243" t="str">
        <f>IF(H243="Track 4",IFERROR(_xlfn.XLOOKUP("*"&amp;LEFT(C243,FIND(" ",C243&amp;" ")-1)&amp;"*",'[1]Track 4'!$C$1:$C$99,'[1]Track 4'!$A$1:$A$99,,2),IFERROR(_xlfn.XLOOKUP("*"&amp;LEFT(C243,FIND(" ",C243&amp;" ")-1)&amp;"*",'[1]Track 4'!$H$1:$H$99,'[1]Track 4'!$F$1:$F$99,,2),"")),"")</f>
        <v xml:space="preserve">11.00 -11.10 </v>
      </c>
      <c r="J243" t="s">
        <v>733</v>
      </c>
    </row>
    <row r="244" spans="1:10" ht="14.25" customHeight="1" x14ac:dyDescent="0.35">
      <c r="A244">
        <v>243</v>
      </c>
      <c r="B244">
        <v>42243</v>
      </c>
      <c r="C244" t="s">
        <v>261</v>
      </c>
      <c r="D244" t="s">
        <v>262</v>
      </c>
      <c r="E244" s="6" t="s">
        <v>12</v>
      </c>
      <c r="F244" s="32" t="s">
        <v>251</v>
      </c>
      <c r="G244" s="19">
        <v>2</v>
      </c>
      <c r="H244" s="39" t="s">
        <v>228</v>
      </c>
      <c r="I244" t="str">
        <f>IF(H244="Track 4",IFERROR(_xlfn.XLOOKUP("*"&amp;LEFT(C244,FIND(" ",C244&amp;" ")-1)&amp;"*",'[1]Track 4'!$C$1:$C$99,'[1]Track 4'!$A$1:$A$99,,2),IFERROR(_xlfn.XLOOKUP("*"&amp;LEFT(C244,FIND(" ",C244&amp;" ")-1)&amp;"*",'[1]Track 4'!$H$1:$H$99,'[1]Track 4'!$F$1:$F$99,,2),"")),"")</f>
        <v xml:space="preserve">11.10 -11.20 </v>
      </c>
      <c r="J244" t="s">
        <v>734</v>
      </c>
    </row>
    <row r="245" spans="1:10" ht="14.25" customHeight="1" x14ac:dyDescent="0.35">
      <c r="A245">
        <v>244</v>
      </c>
      <c r="B245">
        <v>42244</v>
      </c>
      <c r="C245" t="s">
        <v>250</v>
      </c>
      <c r="D245" t="s">
        <v>18</v>
      </c>
      <c r="E245" s="6" t="s">
        <v>92</v>
      </c>
      <c r="F245" s="32" t="s">
        <v>251</v>
      </c>
      <c r="G245" s="19">
        <v>2</v>
      </c>
      <c r="H245" s="39" t="s">
        <v>228</v>
      </c>
      <c r="I245" t="str">
        <f>IF(H245="Track 4",IFERROR(_xlfn.XLOOKUP("*"&amp;LEFT(C245,FIND(" ",C245&amp;" ")-1)&amp;"*",'[1]Track 4'!$C$1:$C$99,'[1]Track 4'!$A$1:$A$99,,2),IFERROR(_xlfn.XLOOKUP("*"&amp;LEFT(C245,FIND(" ",C245&amp;" ")-1)&amp;"*",'[1]Track 4'!$H$1:$H$99,'[1]Track 4'!$F$1:$F$99,,2),"")),"")</f>
        <v xml:space="preserve">9.00 -9.10 </v>
      </c>
      <c r="J245" t="s">
        <v>724</v>
      </c>
    </row>
    <row r="246" spans="1:10" ht="14.25" customHeight="1" x14ac:dyDescent="0.35">
      <c r="A246">
        <v>245</v>
      </c>
      <c r="B246">
        <v>42245</v>
      </c>
      <c r="C246" t="s">
        <v>231</v>
      </c>
      <c r="D246" t="s">
        <v>16</v>
      </c>
      <c r="E246" s="6" t="s">
        <v>25</v>
      </c>
      <c r="F246" s="38" t="s">
        <v>263</v>
      </c>
      <c r="G246" s="19">
        <v>2</v>
      </c>
      <c r="H246" s="39" t="s">
        <v>228</v>
      </c>
      <c r="I246" t="str">
        <f>IF(H246="Track 4",IFERROR(_xlfn.XLOOKUP("*"&amp;LEFT(C246,FIND(" ",C246&amp;" ")-1)&amp;"*",'[1]Track 4'!$C$1:$C$99,'[1]Track 4'!$A$1:$A$99,,2),IFERROR(_xlfn.XLOOKUP("*"&amp;LEFT(C246,FIND(" ",C246&amp;" ")-1)&amp;"*",'[1]Track 4'!$H$1:$H$99,'[1]Track 4'!$F$1:$F$99,,2),"")),"")</f>
        <v xml:space="preserve">10.50 -11.00 </v>
      </c>
      <c r="J246" t="s">
        <v>715</v>
      </c>
    </row>
    <row r="247" spans="1:10" ht="14.25" customHeight="1" x14ac:dyDescent="0.35">
      <c r="A247">
        <v>246</v>
      </c>
      <c r="B247">
        <v>42246</v>
      </c>
      <c r="C247" t="s">
        <v>264</v>
      </c>
      <c r="D247" t="s">
        <v>265</v>
      </c>
      <c r="E247" s="6" t="s">
        <v>86</v>
      </c>
      <c r="F247" s="38" t="s">
        <v>263</v>
      </c>
      <c r="G247" s="19">
        <v>2</v>
      </c>
      <c r="H247" s="39" t="s">
        <v>228</v>
      </c>
      <c r="I247" t="str">
        <f>IF(H247="Track 4",IFERROR(_xlfn.XLOOKUP("*"&amp;LEFT(C247,FIND(" ",C247&amp;" ")-1)&amp;"*",'[1]Track 4'!$C$1:$C$99,'[1]Track 4'!$A$1:$A$99,,2),IFERROR(_xlfn.XLOOKUP("*"&amp;LEFT(C247,FIND(" ",C247&amp;" ")-1)&amp;"*",'[1]Track 4'!$H$1:$H$99,'[1]Track 4'!$F$1:$F$99,,2),"")),"")</f>
        <v xml:space="preserve">12.35 -12.45 </v>
      </c>
      <c r="J247" t="s">
        <v>735</v>
      </c>
    </row>
    <row r="248" spans="1:10" ht="14.25" customHeight="1" x14ac:dyDescent="0.35">
      <c r="A248">
        <v>247</v>
      </c>
      <c r="B248">
        <v>42247</v>
      </c>
      <c r="C248" t="s">
        <v>266</v>
      </c>
      <c r="D248" t="s">
        <v>16</v>
      </c>
      <c r="E248" s="6" t="s">
        <v>26</v>
      </c>
      <c r="F248" s="38" t="s">
        <v>263</v>
      </c>
      <c r="G248" s="19">
        <v>2</v>
      </c>
      <c r="H248" s="39" t="s">
        <v>228</v>
      </c>
      <c r="I248" t="str">
        <f>IF(H248="Track 4",IFERROR(_xlfn.XLOOKUP("*"&amp;LEFT(C248,FIND(" ",C248&amp;" ")-1)&amp;"*",'[1]Track 4'!$C$1:$C$99,'[1]Track 4'!$A$1:$A$99,,2),IFERROR(_xlfn.XLOOKUP("*"&amp;LEFT(C248,FIND(" ",C248&amp;" ")-1)&amp;"*",'[1]Track 4'!$H$1:$H$99,'[1]Track 4'!$F$1:$F$99,,2),"")),"")</f>
        <v/>
      </c>
      <c r="J248" t="s">
        <v>134</v>
      </c>
    </row>
    <row r="249" spans="1:10" ht="14.25" customHeight="1" x14ac:dyDescent="0.35">
      <c r="A249">
        <v>248</v>
      </c>
      <c r="B249">
        <v>42248</v>
      </c>
      <c r="C249" t="s">
        <v>267</v>
      </c>
      <c r="D249" t="s">
        <v>16</v>
      </c>
      <c r="E249" s="6" t="s">
        <v>12</v>
      </c>
      <c r="F249" s="38" t="s">
        <v>263</v>
      </c>
      <c r="G249" s="19">
        <v>2</v>
      </c>
      <c r="H249" s="39" t="s">
        <v>228</v>
      </c>
      <c r="I249" t="str">
        <f>IF(H249="Track 4",IFERROR(_xlfn.XLOOKUP("*"&amp;LEFT(C249,FIND(" ",C249&amp;" ")-1)&amp;"*",'[1]Track 4'!$C$1:$C$99,'[1]Track 4'!$A$1:$A$99,,2),IFERROR(_xlfn.XLOOKUP("*"&amp;LEFT(C249,FIND(" ",C249&amp;" ")-1)&amp;"*",'[1]Track 4'!$H$1:$H$99,'[1]Track 4'!$F$1:$F$99,,2),"")),"")</f>
        <v/>
      </c>
      <c r="J249" t="s">
        <v>134</v>
      </c>
    </row>
    <row r="250" spans="1:10" ht="14.25" customHeight="1" x14ac:dyDescent="0.35">
      <c r="A250">
        <v>249</v>
      </c>
      <c r="B250">
        <v>42249</v>
      </c>
      <c r="C250" t="s">
        <v>268</v>
      </c>
      <c r="D250" t="s">
        <v>269</v>
      </c>
      <c r="E250" s="6" t="s">
        <v>12</v>
      </c>
      <c r="F250" s="38" t="s">
        <v>263</v>
      </c>
      <c r="G250" s="19">
        <v>2</v>
      </c>
      <c r="H250" s="39" t="s">
        <v>228</v>
      </c>
      <c r="I250" t="str">
        <f>IF(H250="Track 4",IFERROR(_xlfn.XLOOKUP("*"&amp;LEFT(C250,FIND(" ",C250&amp;" ")-1)&amp;"*",'[1]Track 4'!$C$1:$C$99,'[1]Track 4'!$A$1:$A$99,,2),IFERROR(_xlfn.XLOOKUP("*"&amp;LEFT(C250,FIND(" ",C250&amp;" ")-1)&amp;"*",'[1]Track 4'!$H$1:$H$99,'[1]Track 4'!$F$1:$F$99,,2),"")),"")</f>
        <v xml:space="preserve">12.10 -12.25 </v>
      </c>
      <c r="J250" t="s">
        <v>736</v>
      </c>
    </row>
    <row r="251" spans="1:10" ht="14.25" customHeight="1" x14ac:dyDescent="0.35">
      <c r="A251">
        <v>250</v>
      </c>
      <c r="B251">
        <v>42250</v>
      </c>
      <c r="C251" t="s">
        <v>270</v>
      </c>
      <c r="D251" t="s">
        <v>42</v>
      </c>
      <c r="E251" s="6" t="s">
        <v>12</v>
      </c>
      <c r="F251" s="38" t="s">
        <v>263</v>
      </c>
      <c r="G251" s="19">
        <v>2</v>
      </c>
      <c r="H251" s="39" t="s">
        <v>228</v>
      </c>
      <c r="I251" t="str">
        <f>IF(H251="Track 4",IFERROR(_xlfn.XLOOKUP("*"&amp;LEFT(C251,FIND(" ",C251&amp;" ")-1)&amp;"*",'[1]Track 4'!$C$1:$C$99,'[1]Track 4'!$A$1:$A$99,,2),IFERROR(_xlfn.XLOOKUP("*"&amp;LEFT(C251,FIND(" ",C251&amp;" ")-1)&amp;"*",'[1]Track 4'!$H$1:$H$99,'[1]Track 4'!$F$1:$F$99,,2),"")),"")</f>
        <v xml:space="preserve">12.25 -12.35 </v>
      </c>
      <c r="J251" t="s">
        <v>737</v>
      </c>
    </row>
    <row r="252" spans="1:10" ht="14.25" customHeight="1" x14ac:dyDescent="0.35">
      <c r="A252">
        <v>251</v>
      </c>
      <c r="B252">
        <v>42251</v>
      </c>
      <c r="C252" t="s">
        <v>231</v>
      </c>
      <c r="D252" t="s">
        <v>16</v>
      </c>
      <c r="E252" s="6" t="s">
        <v>92</v>
      </c>
      <c r="F252" s="38" t="s">
        <v>263</v>
      </c>
      <c r="G252" s="19">
        <v>2</v>
      </c>
      <c r="H252" s="39" t="s">
        <v>228</v>
      </c>
      <c r="I252" t="str">
        <f>IF(H252="Track 4",IFERROR(_xlfn.XLOOKUP("*"&amp;LEFT(C252,FIND(" ",C252&amp;" ")-1)&amp;"*",'[1]Track 4'!$C$1:$C$99,'[1]Track 4'!$A$1:$A$99,,2),IFERROR(_xlfn.XLOOKUP("*"&amp;LEFT(C252,FIND(" ",C252&amp;" ")-1)&amp;"*",'[1]Track 4'!$H$1:$H$99,'[1]Track 4'!$F$1:$F$99,,2),"")),"")</f>
        <v xml:space="preserve">10.50 -11.00 </v>
      </c>
      <c r="J252" t="s">
        <v>715</v>
      </c>
    </row>
    <row r="253" spans="1:10" ht="14.25" customHeight="1" x14ac:dyDescent="0.35">
      <c r="A253">
        <v>252</v>
      </c>
      <c r="B253">
        <v>42252</v>
      </c>
      <c r="C253" t="s">
        <v>271</v>
      </c>
      <c r="D253" t="s">
        <v>272</v>
      </c>
      <c r="E253" s="6" t="s">
        <v>25</v>
      </c>
      <c r="F253" s="32" t="s">
        <v>273</v>
      </c>
      <c r="G253" s="19">
        <v>2</v>
      </c>
      <c r="H253" s="39" t="s">
        <v>228</v>
      </c>
      <c r="I253" t="str">
        <f>IF(H253="Track 4",IFERROR(_xlfn.XLOOKUP("*"&amp;LEFT(C253,FIND(" ",C253&amp;" ")-1)&amp;"*",'[1]Track 4'!$C$1:$C$99,'[1]Track 4'!$A$1:$A$99,,2),IFERROR(_xlfn.XLOOKUP("*"&amp;LEFT(C253,FIND(" ",C253&amp;" ")-1)&amp;"*",'[1]Track 4'!$H$1:$H$99,'[1]Track 4'!$F$1:$F$99,,2),"")),"")</f>
        <v xml:space="preserve">13.20 -13.30 </v>
      </c>
      <c r="J253" t="s">
        <v>738</v>
      </c>
    </row>
    <row r="254" spans="1:10" ht="14.25" customHeight="1" x14ac:dyDescent="0.35">
      <c r="A254">
        <v>253</v>
      </c>
      <c r="B254">
        <v>42253</v>
      </c>
      <c r="C254" t="s">
        <v>237</v>
      </c>
      <c r="D254" t="s">
        <v>70</v>
      </c>
      <c r="E254" s="6" t="s">
        <v>86</v>
      </c>
      <c r="F254" s="32" t="s">
        <v>273</v>
      </c>
      <c r="G254" s="19">
        <v>2</v>
      </c>
      <c r="H254" s="39" t="s">
        <v>228</v>
      </c>
      <c r="I254" t="str">
        <f>IF(H254="Track 4",IFERROR(_xlfn.XLOOKUP("*"&amp;LEFT(C254,FIND(" ",C254&amp;" ")-1)&amp;"*",'[1]Track 4'!$C$1:$C$99,'[1]Track 4'!$A$1:$A$99,,2),IFERROR(_xlfn.XLOOKUP("*"&amp;LEFT(C254,FIND(" ",C254&amp;" ")-1)&amp;"*",'[1]Track 4'!$H$1:$H$99,'[1]Track 4'!$F$1:$F$99,,2),"")),"")</f>
        <v xml:space="preserve">10.20 - 10.35 </v>
      </c>
      <c r="J254" t="s">
        <v>718</v>
      </c>
    </row>
    <row r="255" spans="1:10" ht="14.25" customHeight="1" x14ac:dyDescent="0.35">
      <c r="A255">
        <v>254</v>
      </c>
      <c r="B255">
        <v>42254</v>
      </c>
      <c r="C255" t="s">
        <v>274</v>
      </c>
      <c r="D255" t="s">
        <v>265</v>
      </c>
      <c r="E255" s="6" t="s">
        <v>26</v>
      </c>
      <c r="F255" s="32" t="s">
        <v>273</v>
      </c>
      <c r="G255" s="19">
        <v>2</v>
      </c>
      <c r="H255" s="39" t="s">
        <v>228</v>
      </c>
      <c r="I255" t="str">
        <f>IF(H255="Track 4",IFERROR(_xlfn.XLOOKUP("*"&amp;LEFT(C255,FIND(" ",C255&amp;" ")-1)&amp;"*",'[1]Track 4'!$C$1:$C$99,'[1]Track 4'!$A$1:$A$99,,2),IFERROR(_xlfn.XLOOKUP("*"&amp;LEFT(C255,FIND(" ",C255&amp;" ")-1)&amp;"*",'[1]Track 4'!$H$1:$H$99,'[1]Track 4'!$F$1:$F$99,,2),"")),"")</f>
        <v/>
      </c>
      <c r="J255" t="s">
        <v>134</v>
      </c>
    </row>
    <row r="256" spans="1:10" ht="14.25" customHeight="1" x14ac:dyDescent="0.35">
      <c r="A256">
        <v>255</v>
      </c>
      <c r="B256">
        <v>42255</v>
      </c>
      <c r="C256" t="s">
        <v>275</v>
      </c>
      <c r="D256" t="s">
        <v>111</v>
      </c>
      <c r="E256" s="6" t="s">
        <v>12</v>
      </c>
      <c r="F256" s="32" t="s">
        <v>273</v>
      </c>
      <c r="G256" s="19">
        <v>2</v>
      </c>
      <c r="H256" s="39" t="s">
        <v>228</v>
      </c>
      <c r="I256" t="str">
        <f>IF(H256="Track 4",IFERROR(_xlfn.XLOOKUP("*"&amp;LEFT(C256,FIND(" ",C256&amp;" ")-1)&amp;"*",'[1]Track 4'!$C$1:$C$99,'[1]Track 4'!$A$1:$A$99,,2),IFERROR(_xlfn.XLOOKUP("*"&amp;LEFT(C256,FIND(" ",C256&amp;" ")-1)&amp;"*",'[1]Track 4'!$H$1:$H$99,'[1]Track 4'!$F$1:$F$99,,2),"")),"")</f>
        <v xml:space="preserve">13.00 - 13.10 </v>
      </c>
      <c r="J256" t="s">
        <v>739</v>
      </c>
    </row>
    <row r="257" spans="1:11" ht="14.25" customHeight="1" x14ac:dyDescent="0.35">
      <c r="A257">
        <v>256</v>
      </c>
      <c r="B257">
        <v>42256</v>
      </c>
      <c r="C257" t="s">
        <v>276</v>
      </c>
      <c r="D257" t="s">
        <v>150</v>
      </c>
      <c r="E257" s="6" t="s">
        <v>12</v>
      </c>
      <c r="F257" s="32" t="s">
        <v>273</v>
      </c>
      <c r="G257" s="19">
        <v>2</v>
      </c>
      <c r="H257" s="39" t="s">
        <v>228</v>
      </c>
      <c r="I257" t="str">
        <f>IF(H257="Track 4",IFERROR(_xlfn.XLOOKUP("*"&amp;LEFT(C257,FIND(" ",C257&amp;" ")-1)&amp;"*",'[1]Track 4'!$C$1:$C$99,'[1]Track 4'!$A$1:$A$99,,2),IFERROR(_xlfn.XLOOKUP("*"&amp;LEFT(C257,FIND(" ",C257&amp;" ")-1)&amp;"*",'[1]Track 4'!$H$1:$H$99,'[1]Track 4'!$F$1:$F$99,,2),"")),"")</f>
        <v xml:space="preserve">13.10 - 13.20 </v>
      </c>
      <c r="J257" t="s">
        <v>740</v>
      </c>
    </row>
    <row r="258" spans="1:11" ht="14.25" customHeight="1" x14ac:dyDescent="0.35">
      <c r="A258">
        <v>257</v>
      </c>
      <c r="B258">
        <v>42257</v>
      </c>
      <c r="C258" t="s">
        <v>271</v>
      </c>
      <c r="D258" t="s">
        <v>272</v>
      </c>
      <c r="E258" s="6" t="s">
        <v>12</v>
      </c>
      <c r="F258" s="32" t="s">
        <v>273</v>
      </c>
      <c r="G258" s="19">
        <v>2</v>
      </c>
      <c r="H258" s="39" t="s">
        <v>228</v>
      </c>
      <c r="I258" t="str">
        <f>IF(H258="Track 4",IFERROR(_xlfn.XLOOKUP("*"&amp;LEFT(C258,FIND(" ",C258&amp;" ")-1)&amp;"*",'[1]Track 4'!$C$1:$C$99,'[1]Track 4'!$A$1:$A$99,,2),IFERROR(_xlfn.XLOOKUP("*"&amp;LEFT(C258,FIND(" ",C258&amp;" ")-1)&amp;"*",'[1]Track 4'!$H$1:$H$99,'[1]Track 4'!$F$1:$F$99,,2),"")),"")</f>
        <v xml:space="preserve">13.20 -13.30 </v>
      </c>
      <c r="J258" t="s">
        <v>738</v>
      </c>
    </row>
    <row r="259" spans="1:11" ht="14.25" customHeight="1" x14ac:dyDescent="0.35">
      <c r="A259">
        <v>258</v>
      </c>
      <c r="B259">
        <v>51258</v>
      </c>
      <c r="C259" t="s">
        <v>187</v>
      </c>
      <c r="D259" t="s">
        <v>188</v>
      </c>
      <c r="E259" s="36" t="s">
        <v>277</v>
      </c>
      <c r="F259" s="36" t="s">
        <v>278</v>
      </c>
      <c r="G259" s="40">
        <v>1</v>
      </c>
      <c r="H259" s="40" t="s">
        <v>279</v>
      </c>
      <c r="I259" t="str">
        <f>IF(H259="Track 5 Day 1",IFERROR(_xlfn.XLOOKUP("*"&amp;LEFT(C259,FIND(" ",C259&amp;" ")-1)&amp;"*",'[1]Track 5 Day 1'!$C$1:$C$99,'[1]Track 5 Day 1'!$A$1:$A$99,,2),IFERROR(_xlfn.XLOOKUP("*"&amp;LEFT(C259,FIND(" ",C259&amp;" ")-1)&amp;"*",'[1]Track 5 Day 1'!$G$1:$G$99,'[1]Track 5 Day 1'!$E$1:$E$99,,2),"")),"")</f>
        <v/>
      </c>
      <c r="J259" s="36" t="s">
        <v>134</v>
      </c>
      <c r="K259" s="40">
        <v>5.0999999999999996</v>
      </c>
    </row>
    <row r="260" spans="1:11" ht="14.25" customHeight="1" x14ac:dyDescent="0.35">
      <c r="A260">
        <v>259</v>
      </c>
      <c r="B260">
        <v>51259</v>
      </c>
      <c r="C260" t="s">
        <v>280</v>
      </c>
      <c r="D260" t="s">
        <v>169</v>
      </c>
      <c r="E260" s="36" t="s">
        <v>277</v>
      </c>
      <c r="F260" s="36" t="s">
        <v>278</v>
      </c>
      <c r="G260" s="40">
        <v>1</v>
      </c>
      <c r="H260" s="40" t="s">
        <v>279</v>
      </c>
      <c r="I260" t="str">
        <f>IF(H260="Track 5 Day 1",IFERROR(_xlfn.XLOOKUP("*"&amp;LEFT(C260,FIND(" ",C260&amp;" ")-1)&amp;"*",'[1]Track 5 Day 1'!$C$1:$C$99,'[1]Track 5 Day 1'!$A$1:$A$99,,2),IFERROR(_xlfn.XLOOKUP("*"&amp;LEFT(C260,FIND(" ",C260&amp;" ")-1)&amp;"*",'[1]Track 5 Day 1'!$G$1:$G$99,'[1]Track 5 Day 1'!$E$1:$E$99,,2),"")),"")</f>
        <v/>
      </c>
      <c r="J260" s="36" t="s">
        <v>134</v>
      </c>
      <c r="K260" s="40">
        <v>5.0999999999999996</v>
      </c>
    </row>
    <row r="261" spans="1:11" ht="14.25" customHeight="1" x14ac:dyDescent="0.35">
      <c r="A261">
        <v>260</v>
      </c>
      <c r="B261">
        <v>51260</v>
      </c>
      <c r="C261" t="s">
        <v>281</v>
      </c>
      <c r="D261" t="s">
        <v>16</v>
      </c>
      <c r="E261" s="36" t="s">
        <v>282</v>
      </c>
      <c r="F261" s="36" t="s">
        <v>278</v>
      </c>
      <c r="G261" s="40">
        <v>1</v>
      </c>
      <c r="H261" s="40" t="s">
        <v>279</v>
      </c>
      <c r="I261" t="str">
        <f>IF(H261="Track 5 Day 1",IFERROR(_xlfn.XLOOKUP("*"&amp;LEFT(C261,FIND(" ",C261&amp;" ")-1)&amp;"*",'[1]Track 5 Day 1'!$C$1:$C$99,'[1]Track 5 Day 1'!$A$1:$A$99,,2),IFERROR(_xlfn.XLOOKUP("*"&amp;LEFT(C261,FIND(" ",C261&amp;" ")-1)&amp;"*",'[1]Track 5 Day 1'!$G$1:$G$99,'[1]Track 5 Day 1'!$E$1:$E$99,,2),"")),"")</f>
        <v>9:00 - 9:06</v>
      </c>
      <c r="J261" s="36" t="s">
        <v>741</v>
      </c>
      <c r="K261" s="40">
        <v>5.0999999999999996</v>
      </c>
    </row>
    <row r="262" spans="1:11" ht="14.25" customHeight="1" x14ac:dyDescent="0.35">
      <c r="A262">
        <v>261</v>
      </c>
      <c r="B262">
        <v>51261</v>
      </c>
      <c r="C262" t="s">
        <v>283</v>
      </c>
      <c r="D262" t="s">
        <v>18</v>
      </c>
      <c r="E262" s="36" t="s">
        <v>282</v>
      </c>
      <c r="F262" s="36" t="s">
        <v>284</v>
      </c>
      <c r="G262" s="40">
        <v>1</v>
      </c>
      <c r="H262" s="40" t="s">
        <v>279</v>
      </c>
      <c r="I262" t="str">
        <f>IF(H262="Track 5 Day 1",IFERROR(_xlfn.XLOOKUP("*"&amp;LEFT(C262,FIND(" ",C262&amp;" ")-1)&amp;"*",'[1]Track 5 Day 1'!$C$1:$C$99,'[1]Track 5 Day 1'!$A$1:$A$99,,2),IFERROR(_xlfn.XLOOKUP("*"&amp;LEFT(C262,FIND(" ",C262&amp;" ")-1)&amp;"*",'[1]Track 5 Day 1'!$G$1:$G$99,'[1]Track 5 Day 1'!$E$1:$E$99,,2),"")),"")</f>
        <v>9:07 - 9:12</v>
      </c>
      <c r="J262" s="36" t="s">
        <v>742</v>
      </c>
      <c r="K262" s="40">
        <v>5.0999999999999996</v>
      </c>
    </row>
    <row r="263" spans="1:11" ht="14.25" customHeight="1" x14ac:dyDescent="0.35">
      <c r="A263">
        <v>262</v>
      </c>
      <c r="B263">
        <v>51262</v>
      </c>
      <c r="C263" t="s">
        <v>285</v>
      </c>
      <c r="D263" t="s">
        <v>18</v>
      </c>
      <c r="E263" s="36" t="s">
        <v>282</v>
      </c>
      <c r="F263" s="36" t="s">
        <v>286</v>
      </c>
      <c r="G263" s="40">
        <v>1</v>
      </c>
      <c r="H263" s="40" t="s">
        <v>279</v>
      </c>
      <c r="I263" t="str">
        <f>IF(H263="Track 5 Day 1",IFERROR(_xlfn.XLOOKUP("*"&amp;LEFT(C263,FIND(" ",C263&amp;" ")-1)&amp;"*",'[1]Track 5 Day 1'!$C$1:$C$99,'[1]Track 5 Day 1'!$A$1:$A$99,,2),IFERROR(_xlfn.XLOOKUP("*"&amp;LEFT(C263,FIND(" ",C263&amp;" ")-1)&amp;"*",'[1]Track 5 Day 1'!$G$1:$G$99,'[1]Track 5 Day 1'!$E$1:$E$99,,2),"")),"")</f>
        <v>9:13 - 9:18</v>
      </c>
      <c r="J263" s="36" t="s">
        <v>743</v>
      </c>
      <c r="K263" s="40">
        <v>5.0999999999999996</v>
      </c>
    </row>
    <row r="264" spans="1:11" ht="14.25" customHeight="1" x14ac:dyDescent="0.35">
      <c r="A264">
        <v>263</v>
      </c>
      <c r="B264">
        <v>51263</v>
      </c>
      <c r="C264" t="s">
        <v>287</v>
      </c>
      <c r="D264" t="s">
        <v>70</v>
      </c>
      <c r="E264" s="36" t="s">
        <v>282</v>
      </c>
      <c r="F264" s="36" t="s">
        <v>288</v>
      </c>
      <c r="G264" s="40">
        <v>1</v>
      </c>
      <c r="H264" s="40" t="s">
        <v>279</v>
      </c>
      <c r="I264" t="str">
        <f>IF(H264="Track 5 Day 1",IFERROR(_xlfn.XLOOKUP("*"&amp;LEFT(C264,FIND(" ",C264&amp;" ")-1)&amp;"*",'[1]Track 5 Day 1'!$C$1:$C$99,'[1]Track 5 Day 1'!$A$1:$A$99,,2),IFERROR(_xlfn.XLOOKUP("*"&amp;LEFT(C264,FIND(" ",C264&amp;" ")-1)&amp;"*",'[1]Track 5 Day 1'!$G$1:$G$99,'[1]Track 5 Day 1'!$E$1:$E$99,,2),"")),"")</f>
        <v>9:19 - 9:24</v>
      </c>
      <c r="J264" s="36" t="s">
        <v>744</v>
      </c>
      <c r="K264" s="40">
        <v>5.0999999999999996</v>
      </c>
    </row>
    <row r="265" spans="1:11" ht="14.25" customHeight="1" x14ac:dyDescent="0.35">
      <c r="A265">
        <v>264</v>
      </c>
      <c r="B265">
        <v>51264</v>
      </c>
      <c r="C265" t="s">
        <v>289</v>
      </c>
      <c r="D265" t="s">
        <v>16</v>
      </c>
      <c r="E265" s="36" t="s">
        <v>282</v>
      </c>
      <c r="F265" s="36" t="s">
        <v>290</v>
      </c>
      <c r="G265" s="40">
        <v>1</v>
      </c>
      <c r="H265" s="40" t="s">
        <v>279</v>
      </c>
      <c r="I265" t="str">
        <f>IF(H265="Track 5 Day 1",IFERROR(_xlfn.XLOOKUP("*"&amp;LEFT(C265,FIND(" ",C265&amp;" ")-1)&amp;"*",'[1]Track 5 Day 1'!$C$1:$C$99,'[1]Track 5 Day 1'!$A$1:$A$99,,2),IFERROR(_xlfn.XLOOKUP("*"&amp;LEFT(C265,FIND(" ",C265&amp;" ")-1)&amp;"*",'[1]Track 5 Day 1'!$G$1:$G$99,'[1]Track 5 Day 1'!$E$1:$E$99,,2),"")),"")</f>
        <v>9:25 - 9:30</v>
      </c>
      <c r="J265" s="36" t="s">
        <v>745</v>
      </c>
      <c r="K265" s="40">
        <v>5.0999999999999996</v>
      </c>
    </row>
    <row r="266" spans="1:11" ht="14.25" customHeight="1" x14ac:dyDescent="0.35">
      <c r="A266">
        <v>265</v>
      </c>
      <c r="B266">
        <v>51265</v>
      </c>
      <c r="C266" t="s">
        <v>291</v>
      </c>
      <c r="D266" t="s">
        <v>119</v>
      </c>
      <c r="E266" s="36" t="s">
        <v>282</v>
      </c>
      <c r="F266" s="36" t="s">
        <v>292</v>
      </c>
      <c r="G266" s="40">
        <v>1</v>
      </c>
      <c r="H266" s="40" t="s">
        <v>279</v>
      </c>
      <c r="I266" t="str">
        <f>IF(H266="Track 5 Day 1",IFERROR(_xlfn.XLOOKUP("*"&amp;LEFT(C266,FIND(" ",C266&amp;" ")-1)&amp;"*",'[1]Track 5 Day 1'!$C$1:$C$99,'[1]Track 5 Day 1'!$A$1:$A$99,,2),IFERROR(_xlfn.XLOOKUP("*"&amp;LEFT(C266,FIND(" ",C266&amp;" ")-1)&amp;"*",'[1]Track 5 Day 1'!$G$1:$G$99,'[1]Track 5 Day 1'!$E$1:$E$99,,2),"")),"")</f>
        <v>9:31 - 9:36</v>
      </c>
      <c r="J266" s="36" t="s">
        <v>746</v>
      </c>
      <c r="K266" s="40">
        <v>5.0999999999999996</v>
      </c>
    </row>
    <row r="267" spans="1:11" ht="14.25" customHeight="1" x14ac:dyDescent="0.35">
      <c r="A267">
        <v>266</v>
      </c>
      <c r="B267">
        <v>51266</v>
      </c>
      <c r="C267" t="s">
        <v>217</v>
      </c>
      <c r="D267" t="s">
        <v>75</v>
      </c>
      <c r="E267" s="36" t="s">
        <v>282</v>
      </c>
      <c r="F267" s="36" t="s">
        <v>293</v>
      </c>
      <c r="G267" s="40">
        <v>1</v>
      </c>
      <c r="H267" s="40" t="s">
        <v>279</v>
      </c>
      <c r="I267" t="str">
        <f>IF(H267="Track 5 Day 1",IFERROR(_xlfn.XLOOKUP("*"&amp;LEFT(C267,FIND(" ",C267&amp;" ")-1)&amp;"*",'[1]Track 5 Day 1'!$C$1:$C$99,'[1]Track 5 Day 1'!$A$1:$A$99,,2),IFERROR(_xlfn.XLOOKUP("*"&amp;LEFT(C267,FIND(" ",C267&amp;" ")-1)&amp;"*",'[1]Track 5 Day 1'!$G$1:$G$99,'[1]Track 5 Day 1'!$E$1:$E$99,,2),"")),"")</f>
        <v>9:37 - 9:42</v>
      </c>
      <c r="J267" s="36" t="s">
        <v>747</v>
      </c>
      <c r="K267" s="40">
        <v>5.0999999999999996</v>
      </c>
    </row>
    <row r="268" spans="1:11" ht="14.25" customHeight="1" x14ac:dyDescent="0.35">
      <c r="A268">
        <v>267</v>
      </c>
      <c r="B268">
        <v>51267</v>
      </c>
      <c r="C268" t="s">
        <v>294</v>
      </c>
      <c r="D268" t="s">
        <v>111</v>
      </c>
      <c r="E268" s="36" t="s">
        <v>282</v>
      </c>
      <c r="F268" s="36" t="s">
        <v>295</v>
      </c>
      <c r="G268" s="40">
        <v>1</v>
      </c>
      <c r="H268" s="40" t="s">
        <v>279</v>
      </c>
      <c r="I268" t="str">
        <f>IF(H268="Track 5 Day 1",IFERROR(_xlfn.XLOOKUP("*"&amp;LEFT(C268,FIND(" ",C268&amp;" ")-1)&amp;"*",'[1]Track 5 Day 1'!$C$1:$C$99,'[1]Track 5 Day 1'!$A$1:$A$99,,2),IFERROR(_xlfn.XLOOKUP("*"&amp;LEFT(C268,FIND(" ",C268&amp;" ")-1)&amp;"*",'[1]Track 5 Day 1'!$G$1:$G$99,'[1]Track 5 Day 1'!$E$1:$E$99,,2),"")),"")</f>
        <v>9:43 - 9:48</v>
      </c>
      <c r="J268" s="36" t="s">
        <v>748</v>
      </c>
      <c r="K268" s="40">
        <v>5.0999999999999996</v>
      </c>
    </row>
    <row r="269" spans="1:11" ht="14.25" customHeight="1" x14ac:dyDescent="0.35">
      <c r="A269">
        <v>268</v>
      </c>
      <c r="B269">
        <v>51268</v>
      </c>
      <c r="C269" t="s">
        <v>296</v>
      </c>
      <c r="D269" t="s">
        <v>18</v>
      </c>
      <c r="E269" s="36" t="s">
        <v>282</v>
      </c>
      <c r="F269" s="36" t="s">
        <v>297</v>
      </c>
      <c r="G269" s="40">
        <v>1</v>
      </c>
      <c r="H269" s="40" t="s">
        <v>279</v>
      </c>
      <c r="I269" t="str">
        <f>IF(H269="Track 5 Day 1",IFERROR(_xlfn.XLOOKUP("*"&amp;LEFT(C269,FIND(" ",C269&amp;" ")-1)&amp;"*",'[1]Track 5 Day 1'!$C$1:$C$99,'[1]Track 5 Day 1'!$A$1:$A$99,,2),IFERROR(_xlfn.XLOOKUP("*"&amp;LEFT(C269,FIND(" ",C269&amp;" ")-1)&amp;"*",'[1]Track 5 Day 1'!$G$1:$G$99,'[1]Track 5 Day 1'!$E$1:$E$99,,2),"")),"")</f>
        <v>9:49 - 9:54</v>
      </c>
      <c r="J269" s="36" t="s">
        <v>749</v>
      </c>
      <c r="K269" s="40">
        <v>5.0999999999999996</v>
      </c>
    </row>
    <row r="270" spans="1:11" ht="14.25" customHeight="1" x14ac:dyDescent="0.35">
      <c r="A270">
        <v>269</v>
      </c>
      <c r="B270">
        <v>51269</v>
      </c>
      <c r="C270" t="s">
        <v>246</v>
      </c>
      <c r="D270" t="s">
        <v>247</v>
      </c>
      <c r="E270" s="36" t="s">
        <v>282</v>
      </c>
      <c r="F270" s="36" t="s">
        <v>298</v>
      </c>
      <c r="G270" s="40">
        <v>1</v>
      </c>
      <c r="H270" s="40" t="s">
        <v>279</v>
      </c>
      <c r="I270" t="str">
        <f>IF(H270="Track 5 Day 1",IFERROR(_xlfn.XLOOKUP("*"&amp;LEFT(C270,FIND(" ",C270&amp;" ")-1)&amp;"*",'[1]Track 5 Day 1'!$C$1:$C$99,'[1]Track 5 Day 1'!$A$1:$A$99,,2),IFERROR(_xlfn.XLOOKUP("*"&amp;LEFT(C270,FIND(" ",C270&amp;" ")-1)&amp;"*",'[1]Track 5 Day 1'!$G$1:$G$99,'[1]Track 5 Day 1'!$E$1:$E$99,,2),"")),"")</f>
        <v>9:55 -10:00</v>
      </c>
      <c r="J270" s="36" t="s">
        <v>750</v>
      </c>
      <c r="K270" s="40">
        <v>5.0999999999999996</v>
      </c>
    </row>
    <row r="271" spans="1:11" ht="14.25" customHeight="1" x14ac:dyDescent="0.35">
      <c r="A271">
        <v>270</v>
      </c>
      <c r="B271">
        <v>51270</v>
      </c>
      <c r="C271" t="s">
        <v>114</v>
      </c>
      <c r="D271" t="s">
        <v>115</v>
      </c>
      <c r="E271" s="36" t="s">
        <v>277</v>
      </c>
      <c r="F271" s="36" t="s">
        <v>299</v>
      </c>
      <c r="G271" s="40">
        <v>1</v>
      </c>
      <c r="H271" s="40" t="s">
        <v>279</v>
      </c>
      <c r="I271" t="str">
        <f>IF(H271="Track 5 Day 1",IFERROR(_xlfn.XLOOKUP("*"&amp;LEFT(C271,FIND(" ",C271&amp;" ")-1)&amp;"*",'[1]Track 5 Day 1'!$C$1:$C$99,'[1]Track 5 Day 1'!$A$1:$A$99,,2),IFERROR(_xlfn.XLOOKUP("*"&amp;LEFT(C271,FIND(" ",C271&amp;" ")-1)&amp;"*",'[1]Track 5 Day 1'!$G$1:$G$99,'[1]Track 5 Day 1'!$E$1:$E$99,,2),"")),"")</f>
        <v/>
      </c>
      <c r="J271" t="s">
        <v>134</v>
      </c>
      <c r="K271" s="40">
        <v>5.0999999999999996</v>
      </c>
    </row>
    <row r="272" spans="1:11" ht="14.25" customHeight="1" x14ac:dyDescent="0.35">
      <c r="A272">
        <v>271</v>
      </c>
      <c r="B272">
        <v>51271</v>
      </c>
      <c r="C272" t="s">
        <v>85</v>
      </c>
      <c r="D272" t="s">
        <v>24</v>
      </c>
      <c r="E272" s="36" t="s">
        <v>277</v>
      </c>
      <c r="F272" s="36" t="s">
        <v>299</v>
      </c>
      <c r="G272" s="40">
        <v>1</v>
      </c>
      <c r="H272" s="40" t="s">
        <v>279</v>
      </c>
      <c r="I272" t="str">
        <f>IF(H272="Track 5 Day 1",IFERROR(_xlfn.XLOOKUP("*"&amp;LEFT(C272,FIND(" ",C272&amp;" ")-1)&amp;"*",'[1]Track 5 Day 1'!$C$1:$C$99,'[1]Track 5 Day 1'!$A$1:$A$99,,2),IFERROR(_xlfn.XLOOKUP("*"&amp;LEFT(C272,FIND(" ",C272&amp;" ")-1)&amp;"*",'[1]Track 5 Day 1'!$G$1:$G$99,'[1]Track 5 Day 1'!$E$1:$E$99,,2),"")),"")</f>
        <v/>
      </c>
      <c r="J272" t="s">
        <v>134</v>
      </c>
      <c r="K272" s="40">
        <v>5.0999999999999996</v>
      </c>
    </row>
    <row r="273" spans="1:11" ht="14.25" customHeight="1" x14ac:dyDescent="0.35">
      <c r="A273">
        <v>272</v>
      </c>
      <c r="B273">
        <v>51272</v>
      </c>
      <c r="C273" t="s">
        <v>300</v>
      </c>
      <c r="D273" t="s">
        <v>301</v>
      </c>
      <c r="E273" s="36" t="s">
        <v>282</v>
      </c>
      <c r="F273" s="36" t="s">
        <v>299</v>
      </c>
      <c r="G273" s="40">
        <v>1</v>
      </c>
      <c r="H273" s="40" t="s">
        <v>279</v>
      </c>
      <c r="I273" t="str">
        <f>IF(H273="Track 5 Day 1",IFERROR(_xlfn.XLOOKUP("*"&amp;LEFT(C273,FIND(" ",C273&amp;" ")-1)&amp;"*",'[1]Track 5 Day 1'!$C$1:$C$99,'[1]Track 5 Day 1'!$A$1:$A$99,,2),IFERROR(_xlfn.XLOOKUP("*"&amp;LEFT(C273,FIND(" ",C273&amp;" ")-1)&amp;"*",'[1]Track 5 Day 1'!$G$1:$G$99,'[1]Track 5 Day 1'!$E$1:$E$99,,2),"")),"")</f>
        <v>10:10 - 10:16</v>
      </c>
      <c r="J273" s="36" t="s">
        <v>751</v>
      </c>
      <c r="K273" s="40">
        <v>5.0999999999999996</v>
      </c>
    </row>
    <row r="274" spans="1:11" ht="14.25" customHeight="1" x14ac:dyDescent="0.35">
      <c r="A274">
        <v>273</v>
      </c>
      <c r="B274">
        <v>51273</v>
      </c>
      <c r="C274" t="s">
        <v>302</v>
      </c>
      <c r="D274" t="s">
        <v>303</v>
      </c>
      <c r="E274" s="36" t="s">
        <v>282</v>
      </c>
      <c r="F274" s="36" t="s">
        <v>299</v>
      </c>
      <c r="G274" s="40">
        <v>1</v>
      </c>
      <c r="H274" s="40" t="s">
        <v>279</v>
      </c>
      <c r="I274" t="str">
        <f>IF(H274="Track 5 Day 1",IFERROR(_xlfn.XLOOKUP("*"&amp;LEFT(C274,FIND(" ",C274&amp;" ")-1)&amp;"*",'[1]Track 5 Day 1'!$C$1:$C$99,'[1]Track 5 Day 1'!$A$1:$A$99,,2),IFERROR(_xlfn.XLOOKUP("*"&amp;LEFT(C274,FIND(" ",C274&amp;" ")-1)&amp;"*",'[1]Track 5 Day 1'!$G$1:$G$99,'[1]Track 5 Day 1'!$E$1:$E$99,,2),"")),"")</f>
        <v>10:17 - 10:22</v>
      </c>
      <c r="J274" s="36" t="s">
        <v>752</v>
      </c>
      <c r="K274" s="40">
        <v>5.0999999999999996</v>
      </c>
    </row>
    <row r="275" spans="1:11" ht="14.25" customHeight="1" x14ac:dyDescent="0.35">
      <c r="A275">
        <v>274</v>
      </c>
      <c r="B275">
        <v>51274</v>
      </c>
      <c r="C275" t="s">
        <v>304</v>
      </c>
      <c r="D275" t="s">
        <v>16</v>
      </c>
      <c r="E275" s="36" t="s">
        <v>282</v>
      </c>
      <c r="F275" s="36" t="s">
        <v>299</v>
      </c>
      <c r="G275" s="40">
        <v>1</v>
      </c>
      <c r="H275" s="40" t="s">
        <v>279</v>
      </c>
      <c r="I275" t="str">
        <f>IF(H275="Track 5 Day 1",IFERROR(_xlfn.XLOOKUP("*"&amp;LEFT(C275,FIND(" ",C275&amp;" ")-1)&amp;"*",'[1]Track 5 Day 1'!$C$1:$C$99,'[1]Track 5 Day 1'!$A$1:$A$99,,2),IFERROR(_xlfn.XLOOKUP("*"&amp;LEFT(C275,FIND(" ",C275&amp;" ")-1)&amp;"*",'[1]Track 5 Day 1'!$G$1:$G$99,'[1]Track 5 Day 1'!$E$1:$E$99,,2),"")),"")</f>
        <v>10:23 - 10:28</v>
      </c>
      <c r="J275" s="36" t="s">
        <v>753</v>
      </c>
      <c r="K275" s="40">
        <v>5.0999999999999996</v>
      </c>
    </row>
    <row r="276" spans="1:11" ht="14.25" customHeight="1" x14ac:dyDescent="0.35">
      <c r="A276">
        <v>275</v>
      </c>
      <c r="B276">
        <v>51275</v>
      </c>
      <c r="C276" t="s">
        <v>305</v>
      </c>
      <c r="D276" t="s">
        <v>191</v>
      </c>
      <c r="E276" s="36" t="s">
        <v>282</v>
      </c>
      <c r="F276" s="36" t="s">
        <v>299</v>
      </c>
      <c r="G276" s="40">
        <v>1</v>
      </c>
      <c r="H276" s="40" t="s">
        <v>279</v>
      </c>
      <c r="I276" t="str">
        <f>IF(H276="Track 5 Day 1",IFERROR(_xlfn.XLOOKUP("*"&amp;LEFT(C276,FIND(" ",C276&amp;" ")-1)&amp;"*",'[1]Track 5 Day 1'!$C$1:$C$99,'[1]Track 5 Day 1'!$A$1:$A$99,,2),IFERROR(_xlfn.XLOOKUP("*"&amp;LEFT(C276,FIND(" ",C276&amp;" ")-1)&amp;"*",'[1]Track 5 Day 1'!$G$1:$G$99,'[1]Track 5 Day 1'!$E$1:$E$99,,2),"")),"")</f>
        <v>10:29 - 10:34</v>
      </c>
      <c r="J276" s="36" t="s">
        <v>754</v>
      </c>
      <c r="K276" s="40">
        <v>5.0999999999999996</v>
      </c>
    </row>
    <row r="277" spans="1:11" ht="14.25" customHeight="1" x14ac:dyDescent="0.35">
      <c r="A277">
        <v>276</v>
      </c>
      <c r="B277">
        <v>51276</v>
      </c>
      <c r="C277" t="s">
        <v>306</v>
      </c>
      <c r="D277" t="s">
        <v>111</v>
      </c>
      <c r="E277" s="36" t="s">
        <v>282</v>
      </c>
      <c r="F277" s="36" t="s">
        <v>299</v>
      </c>
      <c r="G277" s="40">
        <v>1</v>
      </c>
      <c r="H277" s="40" t="s">
        <v>279</v>
      </c>
      <c r="I277" t="str">
        <f>IF(H277="Track 5 Day 1",IFERROR(_xlfn.XLOOKUP("*"&amp;LEFT(C277,FIND(" ",C277&amp;" ")-1)&amp;"*",'[1]Track 5 Day 1'!$C$1:$C$99,'[1]Track 5 Day 1'!$A$1:$A$99,,2),IFERROR(_xlfn.XLOOKUP("*"&amp;LEFT(C277,FIND(" ",C277&amp;" ")-1)&amp;"*",'[1]Track 5 Day 1'!$G$1:$G$99,'[1]Track 5 Day 1'!$E$1:$E$99,,2),"")),"")</f>
        <v>10:35 - 19:40</v>
      </c>
      <c r="J277" s="36" t="s">
        <v>755</v>
      </c>
      <c r="K277" s="40">
        <v>5.0999999999999996</v>
      </c>
    </row>
    <row r="278" spans="1:11" ht="14.25" customHeight="1" x14ac:dyDescent="0.35">
      <c r="A278">
        <v>277</v>
      </c>
      <c r="B278">
        <v>51277</v>
      </c>
      <c r="C278" t="s">
        <v>307</v>
      </c>
      <c r="D278" t="s">
        <v>16</v>
      </c>
      <c r="E278" s="36" t="s">
        <v>282</v>
      </c>
      <c r="F278" s="36" t="s">
        <v>299</v>
      </c>
      <c r="G278" s="40">
        <v>1</v>
      </c>
      <c r="H278" s="40" t="s">
        <v>279</v>
      </c>
      <c r="I278" t="str">
        <f>IF(H278="Track 5 Day 1",IFERROR(_xlfn.XLOOKUP("*"&amp;LEFT(C278,FIND(" ",C278&amp;" ")-1)&amp;"*",'[1]Track 5 Day 1'!$C$1:$C$99,'[1]Track 5 Day 1'!$A$1:$A$99,,2),IFERROR(_xlfn.XLOOKUP("*"&amp;LEFT(C278,FIND(" ",C278&amp;" ")-1)&amp;"*",'[1]Track 5 Day 1'!$G$1:$G$99,'[1]Track 5 Day 1'!$E$1:$E$99,,2),"")),"")</f>
        <v>10:41 - 10:46</v>
      </c>
      <c r="J278" s="36" t="s">
        <v>756</v>
      </c>
      <c r="K278" s="40">
        <v>5.0999999999999996</v>
      </c>
    </row>
    <row r="279" spans="1:11" ht="14.25" customHeight="1" x14ac:dyDescent="0.35">
      <c r="A279">
        <v>278</v>
      </c>
      <c r="B279">
        <v>51278</v>
      </c>
      <c r="C279" t="s">
        <v>308</v>
      </c>
      <c r="D279" t="s">
        <v>11</v>
      </c>
      <c r="E279" s="36" t="s">
        <v>282</v>
      </c>
      <c r="F279" s="36" t="s">
        <v>299</v>
      </c>
      <c r="G279" s="40">
        <v>1</v>
      </c>
      <c r="H279" s="40" t="s">
        <v>279</v>
      </c>
      <c r="I279" t="str">
        <f>IF(H279="Track 5 Day 1",IFERROR(_xlfn.XLOOKUP("*"&amp;LEFT(C279,FIND(" ",C279&amp;" ")-1)&amp;"*",'[1]Track 5 Day 1'!$C$1:$C$99,'[1]Track 5 Day 1'!$A$1:$A$99,,2),IFERROR(_xlfn.XLOOKUP("*"&amp;LEFT(C279,FIND(" ",C279&amp;" ")-1)&amp;"*",'[1]Track 5 Day 1'!$G$1:$G$99,'[1]Track 5 Day 1'!$E$1:$E$99,,2),"")),"")</f>
        <v>10:47 - 10:52</v>
      </c>
      <c r="J279" s="36" t="s">
        <v>757</v>
      </c>
      <c r="K279" s="40">
        <v>5.0999999999999996</v>
      </c>
    </row>
    <row r="280" spans="1:11" ht="14.25" customHeight="1" x14ac:dyDescent="0.35">
      <c r="A280">
        <v>279</v>
      </c>
      <c r="B280">
        <v>51279</v>
      </c>
      <c r="C280" t="s">
        <v>309</v>
      </c>
      <c r="D280" t="s">
        <v>150</v>
      </c>
      <c r="E280" s="36" t="s">
        <v>282</v>
      </c>
      <c r="F280" s="36" t="s">
        <v>299</v>
      </c>
      <c r="G280" s="40">
        <v>1</v>
      </c>
      <c r="H280" s="40" t="s">
        <v>279</v>
      </c>
      <c r="I280" t="str">
        <f>IF(H280="Track 5 Day 1",IFERROR(_xlfn.XLOOKUP("*"&amp;LEFT(C280,FIND(" ",C280&amp;" ")-1)&amp;"*",'[1]Track 5 Day 1'!$C$1:$C$99,'[1]Track 5 Day 1'!$A$1:$A$99,,2),IFERROR(_xlfn.XLOOKUP("*"&amp;LEFT(C280,FIND(" ",C280&amp;" ")-1)&amp;"*",'[1]Track 5 Day 1'!$G$1:$G$99,'[1]Track 5 Day 1'!$E$1:$E$99,,2),"")),"")</f>
        <v>10:53 - 10:58</v>
      </c>
      <c r="J280" s="36" t="s">
        <v>758</v>
      </c>
      <c r="K280" s="40">
        <v>5.0999999999999996</v>
      </c>
    </row>
    <row r="281" spans="1:11" ht="14.25" customHeight="1" x14ac:dyDescent="0.35">
      <c r="A281">
        <v>280</v>
      </c>
      <c r="B281">
        <v>51280</v>
      </c>
      <c r="C281" t="s">
        <v>310</v>
      </c>
      <c r="D281" t="s">
        <v>16</v>
      </c>
      <c r="E281" s="36" t="s">
        <v>282</v>
      </c>
      <c r="F281" s="36" t="s">
        <v>299</v>
      </c>
      <c r="G281" s="40">
        <v>1</v>
      </c>
      <c r="H281" s="40" t="s">
        <v>279</v>
      </c>
      <c r="I281" t="str">
        <f>IF(H281="Track 5 Day 1",IFERROR(_xlfn.XLOOKUP("*"&amp;LEFT(C281,FIND(" ",C281&amp;" ")-1)&amp;"*",'[1]Track 5 Day 1'!$C$1:$C$99,'[1]Track 5 Day 1'!$A$1:$A$99,,2),IFERROR(_xlfn.XLOOKUP("*"&amp;LEFT(C281,FIND(" ",C281&amp;" ")-1)&amp;"*",'[1]Track 5 Day 1'!$G$1:$G$99,'[1]Track 5 Day 1'!$E$1:$E$99,,2),"")),"")</f>
        <v>10:59 - 11:04</v>
      </c>
      <c r="J281" s="36" t="s">
        <v>759</v>
      </c>
      <c r="K281" s="40">
        <v>5.0999999999999996</v>
      </c>
    </row>
    <row r="282" spans="1:11" ht="14.25" customHeight="1" x14ac:dyDescent="0.35">
      <c r="A282">
        <v>281</v>
      </c>
      <c r="B282">
        <v>51281</v>
      </c>
      <c r="C282" t="s">
        <v>311</v>
      </c>
      <c r="D282" t="s">
        <v>132</v>
      </c>
      <c r="E282" s="36" t="s">
        <v>282</v>
      </c>
      <c r="F282" s="36" t="s">
        <v>299</v>
      </c>
      <c r="G282" s="40">
        <v>1</v>
      </c>
      <c r="H282" s="40" t="s">
        <v>279</v>
      </c>
      <c r="I282" t="str">
        <f>IF(H282="Track 5 Day 1",IFERROR(_xlfn.XLOOKUP("*"&amp;LEFT(C282,FIND(" ",C282&amp;" ")-1)&amp;"*",'[1]Track 5 Day 1'!$C$1:$C$99,'[1]Track 5 Day 1'!$A$1:$A$99,,2),IFERROR(_xlfn.XLOOKUP("*"&amp;LEFT(C282,FIND(" ",C282&amp;" ")-1)&amp;"*",'[1]Track 5 Day 1'!$G$1:$G$99,'[1]Track 5 Day 1'!$E$1:$E$99,,2),"")),"")</f>
        <v>11:05 - 11:10</v>
      </c>
      <c r="J282" s="36" t="s">
        <v>760</v>
      </c>
      <c r="K282" s="40">
        <v>5.0999999999999996</v>
      </c>
    </row>
    <row r="283" spans="1:11" ht="14.25" customHeight="1" x14ac:dyDescent="0.35">
      <c r="A283">
        <v>282</v>
      </c>
      <c r="B283">
        <v>51282</v>
      </c>
      <c r="C283" t="s">
        <v>246</v>
      </c>
      <c r="D283" t="s">
        <v>247</v>
      </c>
      <c r="E283" s="36" t="s">
        <v>277</v>
      </c>
      <c r="F283" s="36" t="s">
        <v>312</v>
      </c>
      <c r="G283" s="40">
        <v>1</v>
      </c>
      <c r="H283" s="40" t="s">
        <v>279</v>
      </c>
      <c r="I283" t="str">
        <f>IF(H283="Track 5 Day 1",IFERROR(_xlfn.XLOOKUP("*"&amp;LEFT(C283,FIND(" ",C283&amp;" ")-1)&amp;"*",'[1]Track 5 Day 1'!$C$1:$C$99,'[1]Track 5 Day 1'!$A$1:$A$99,,2),IFERROR(_xlfn.XLOOKUP("*"&amp;LEFT(C283,FIND(" ",C283&amp;" ")-1)&amp;"*",'[1]Track 5 Day 1'!$G$1:$G$99,'[1]Track 5 Day 1'!$E$1:$E$99,,2),"")),"")</f>
        <v>9:55 -10:00</v>
      </c>
      <c r="J283" s="36" t="s">
        <v>750</v>
      </c>
      <c r="K283" s="40">
        <v>5.0999999999999996</v>
      </c>
    </row>
    <row r="284" spans="1:11" ht="14.25" customHeight="1" x14ac:dyDescent="0.35">
      <c r="A284">
        <v>283</v>
      </c>
      <c r="B284">
        <v>51283</v>
      </c>
      <c r="C284" t="s">
        <v>275</v>
      </c>
      <c r="D284" t="s">
        <v>111</v>
      </c>
      <c r="E284" s="36" t="s">
        <v>277</v>
      </c>
      <c r="F284" s="36" t="s">
        <v>312</v>
      </c>
      <c r="G284" s="40">
        <v>1</v>
      </c>
      <c r="H284" s="40" t="s">
        <v>279</v>
      </c>
      <c r="I284" t="str">
        <f>IF(H284="Track 5 Day 1",IFERROR(_xlfn.XLOOKUP("*"&amp;LEFT(C284,FIND(" ",C284&amp;" ")-1)&amp;"*",'[1]Track 5 Day 1'!$C$1:$C$99,'[1]Track 5 Day 1'!$A$1:$A$99,,2),IFERROR(_xlfn.XLOOKUP("*"&amp;LEFT(C284,FIND(" ",C284&amp;" ")-1)&amp;"*",'[1]Track 5 Day 1'!$G$1:$G$99,'[1]Track 5 Day 1'!$E$1:$E$99,,2),"")),"")</f>
        <v/>
      </c>
      <c r="J284" s="25" t="s">
        <v>134</v>
      </c>
      <c r="K284" s="40">
        <v>5.0999999999999996</v>
      </c>
    </row>
    <row r="285" spans="1:11" ht="14.25" customHeight="1" x14ac:dyDescent="0.35">
      <c r="A285">
        <v>284</v>
      </c>
      <c r="B285">
        <v>51284</v>
      </c>
      <c r="C285" t="s">
        <v>130</v>
      </c>
      <c r="D285" t="s">
        <v>111</v>
      </c>
      <c r="E285" s="36" t="s">
        <v>282</v>
      </c>
      <c r="F285" s="36" t="s">
        <v>312</v>
      </c>
      <c r="G285" s="40">
        <v>1</v>
      </c>
      <c r="H285" s="40" t="s">
        <v>279</v>
      </c>
      <c r="I285" t="str">
        <f>IF(H285="Track 5 Day 1",IFERROR(_xlfn.XLOOKUP("*"&amp;LEFT(C285,FIND(" ",C285&amp;" ")-1)&amp;"*",'[1]Track 5 Day 1'!$C$1:$C$99,'[1]Track 5 Day 1'!$A$1:$A$99,,2),IFERROR(_xlfn.XLOOKUP("*"&amp;LEFT(C285,FIND(" ",C285&amp;" ")-1)&amp;"*",'[1]Track 5 Day 1'!$G$1:$G$99,'[1]Track 5 Day 1'!$E$1:$E$99,,2),"")),"")</f>
        <v>11:20 - 11:26</v>
      </c>
      <c r="J285" s="36" t="s">
        <v>761</v>
      </c>
      <c r="K285" s="40">
        <v>5.0999999999999996</v>
      </c>
    </row>
    <row r="286" spans="1:11" ht="14.25" customHeight="1" x14ac:dyDescent="0.35">
      <c r="A286">
        <v>285</v>
      </c>
      <c r="B286">
        <v>51285</v>
      </c>
      <c r="C286" t="s">
        <v>313</v>
      </c>
      <c r="D286" t="s">
        <v>119</v>
      </c>
      <c r="E286" s="36" t="s">
        <v>282</v>
      </c>
      <c r="F286" s="36" t="s">
        <v>312</v>
      </c>
      <c r="G286" s="40">
        <v>1</v>
      </c>
      <c r="H286" s="40" t="s">
        <v>279</v>
      </c>
      <c r="I286" t="str">
        <f>IF(H286="Track 5 Day 1",IFERROR(_xlfn.XLOOKUP("*"&amp;LEFT(C286,FIND(" ",C286&amp;" ")-1)&amp;"*",'[1]Track 5 Day 1'!$C$1:$C$99,'[1]Track 5 Day 1'!$A$1:$A$99,,2),IFERROR(_xlfn.XLOOKUP("*"&amp;LEFT(C286,FIND(" ",C286&amp;" ")-1)&amp;"*",'[1]Track 5 Day 1'!$G$1:$G$99,'[1]Track 5 Day 1'!$E$1:$E$99,,2),"")),"")</f>
        <v>11:27 - 11:32</v>
      </c>
      <c r="J286" s="36" t="s">
        <v>762</v>
      </c>
      <c r="K286" s="40">
        <v>5.0999999999999996</v>
      </c>
    </row>
    <row r="287" spans="1:11" ht="14.25" customHeight="1" x14ac:dyDescent="0.35">
      <c r="A287">
        <v>286</v>
      </c>
      <c r="B287">
        <v>51286</v>
      </c>
      <c r="C287" t="s">
        <v>314</v>
      </c>
      <c r="D287" t="s">
        <v>18</v>
      </c>
      <c r="E287" s="36" t="s">
        <v>282</v>
      </c>
      <c r="F287" s="36" t="s">
        <v>312</v>
      </c>
      <c r="G287" s="40">
        <v>1</v>
      </c>
      <c r="H287" s="40" t="s">
        <v>279</v>
      </c>
      <c r="I287" t="str">
        <f>IF(H287="Track 5 Day 1",IFERROR(_xlfn.XLOOKUP("*"&amp;LEFT(C287,FIND(" ",C287&amp;" ")-1)&amp;"*",'[1]Track 5 Day 1'!$C$1:$C$99,'[1]Track 5 Day 1'!$A$1:$A$99,,2),IFERROR(_xlfn.XLOOKUP("*"&amp;LEFT(C287,FIND(" ",C287&amp;" ")-1)&amp;"*",'[1]Track 5 Day 1'!$G$1:$G$99,'[1]Track 5 Day 1'!$E$1:$E$99,,2),"")),"")</f>
        <v>11:33 - 11:38</v>
      </c>
      <c r="J287" s="36" t="s">
        <v>763</v>
      </c>
      <c r="K287" s="40">
        <v>5.0999999999999996</v>
      </c>
    </row>
    <row r="288" spans="1:11" ht="14.25" customHeight="1" x14ac:dyDescent="0.35">
      <c r="A288">
        <v>287</v>
      </c>
      <c r="B288">
        <v>51287</v>
      </c>
      <c r="C288" t="s">
        <v>315</v>
      </c>
      <c r="D288" t="s">
        <v>191</v>
      </c>
      <c r="E288" s="36" t="s">
        <v>282</v>
      </c>
      <c r="F288" s="36" t="s">
        <v>312</v>
      </c>
      <c r="G288" s="40">
        <v>1</v>
      </c>
      <c r="H288" s="40" t="s">
        <v>279</v>
      </c>
      <c r="I288" t="str">
        <f>IF(H288="Track 5 Day 1",IFERROR(_xlfn.XLOOKUP("*"&amp;LEFT(C288,FIND(" ",C288&amp;" ")-1)&amp;"*",'[1]Track 5 Day 1'!$C$1:$C$99,'[1]Track 5 Day 1'!$A$1:$A$99,,2),IFERROR(_xlfn.XLOOKUP("*"&amp;LEFT(C288,FIND(" ",C288&amp;" ")-1)&amp;"*",'[1]Track 5 Day 1'!$G$1:$G$99,'[1]Track 5 Day 1'!$E$1:$E$99,,2),"")),"")</f>
        <v>11:39 - 11:44</v>
      </c>
      <c r="J288" s="36" t="s">
        <v>764</v>
      </c>
      <c r="K288" s="40">
        <v>5.0999999999999996</v>
      </c>
    </row>
    <row r="289" spans="1:11" ht="14.25" customHeight="1" x14ac:dyDescent="0.35">
      <c r="A289">
        <v>288</v>
      </c>
      <c r="B289">
        <v>51288</v>
      </c>
      <c r="C289" t="s">
        <v>316</v>
      </c>
      <c r="D289" t="s">
        <v>317</v>
      </c>
      <c r="E289" s="36" t="s">
        <v>282</v>
      </c>
      <c r="F289" s="36" t="s">
        <v>312</v>
      </c>
      <c r="G289" s="40">
        <v>1</v>
      </c>
      <c r="H289" s="40" t="s">
        <v>279</v>
      </c>
      <c r="I289" t="str">
        <f>IF(H289="Track 5 Day 1",IFERROR(_xlfn.XLOOKUP("*"&amp;LEFT(C289,FIND(" ",C289&amp;" ")-1)&amp;"*",'[1]Track 5 Day 1'!$C$1:$C$99,'[1]Track 5 Day 1'!$A$1:$A$99,,2),IFERROR(_xlfn.XLOOKUP("*"&amp;LEFT(C289,FIND(" ",C289&amp;" ")-1)&amp;"*",'[1]Track 5 Day 1'!$G$1:$G$99,'[1]Track 5 Day 1'!$E$1:$E$99,,2),"")),"")</f>
        <v>11:45 - 11:50</v>
      </c>
      <c r="J289" s="36" t="s">
        <v>765</v>
      </c>
      <c r="K289" s="40">
        <v>5.0999999999999996</v>
      </c>
    </row>
    <row r="290" spans="1:11" ht="14.25" customHeight="1" x14ac:dyDescent="0.35">
      <c r="A290">
        <v>289</v>
      </c>
      <c r="B290">
        <v>51289</v>
      </c>
      <c r="C290" t="s">
        <v>318</v>
      </c>
      <c r="D290" t="s">
        <v>191</v>
      </c>
      <c r="E290" s="36" t="s">
        <v>282</v>
      </c>
      <c r="F290" s="36" t="s">
        <v>312</v>
      </c>
      <c r="G290" s="40">
        <v>1</v>
      </c>
      <c r="H290" s="40" t="s">
        <v>279</v>
      </c>
      <c r="I290" t="str">
        <f>IF(H290="Track 5 Day 1",IFERROR(_xlfn.XLOOKUP("*"&amp;LEFT(C290,FIND(" ",C290&amp;" ")-1)&amp;"*",'[1]Track 5 Day 1'!$C$1:$C$99,'[1]Track 5 Day 1'!$A$1:$A$99,,2),IFERROR(_xlfn.XLOOKUP("*"&amp;LEFT(C290,FIND(" ",C290&amp;" ")-1)&amp;"*",'[1]Track 5 Day 1'!$G$1:$G$99,'[1]Track 5 Day 1'!$E$1:$E$99,,2),"")),"")</f>
        <v>11:51 - 11:56</v>
      </c>
      <c r="J290" s="36" t="s">
        <v>766</v>
      </c>
      <c r="K290" s="40">
        <v>5.0999999999999996</v>
      </c>
    </row>
    <row r="291" spans="1:11" ht="14.25" customHeight="1" x14ac:dyDescent="0.35">
      <c r="A291">
        <v>290</v>
      </c>
      <c r="B291">
        <v>51290</v>
      </c>
      <c r="C291" t="s">
        <v>319</v>
      </c>
      <c r="D291" t="s">
        <v>132</v>
      </c>
      <c r="E291" s="36" t="s">
        <v>282</v>
      </c>
      <c r="F291" s="36" t="s">
        <v>312</v>
      </c>
      <c r="G291" s="40">
        <v>1</v>
      </c>
      <c r="H291" s="40" t="s">
        <v>279</v>
      </c>
      <c r="I291" t="str">
        <f>IF(H291="Track 5 Day 1",IFERROR(_xlfn.XLOOKUP("*"&amp;LEFT(C291,FIND(" ",C291&amp;" ")-1)&amp;"*",'[1]Track 5 Day 1'!$C$1:$C$99,'[1]Track 5 Day 1'!$A$1:$A$99,,2),IFERROR(_xlfn.XLOOKUP("*"&amp;LEFT(C291,FIND(" ",C291&amp;" ")-1)&amp;"*",'[1]Track 5 Day 1'!$G$1:$G$99,'[1]Track 5 Day 1'!$E$1:$E$99,,2),"")),"")</f>
        <v>11:57 - 12:02</v>
      </c>
      <c r="J291" s="36" t="s">
        <v>767</v>
      </c>
      <c r="K291" s="40">
        <v>5.0999999999999996</v>
      </c>
    </row>
    <row r="292" spans="1:11" ht="14.25" customHeight="1" x14ac:dyDescent="0.35">
      <c r="A292">
        <v>291</v>
      </c>
      <c r="B292">
        <v>51291</v>
      </c>
      <c r="C292" t="s">
        <v>320</v>
      </c>
      <c r="D292" t="s">
        <v>321</v>
      </c>
      <c r="E292" s="36" t="s">
        <v>282</v>
      </c>
      <c r="F292" s="36" t="s">
        <v>312</v>
      </c>
      <c r="G292" s="40">
        <v>1</v>
      </c>
      <c r="H292" s="40" t="s">
        <v>279</v>
      </c>
      <c r="I292" t="str">
        <f>IF(H292="Track 5 Day 1",IFERROR(_xlfn.XLOOKUP("*"&amp;LEFT(C292,FIND(" ",C292&amp;" ")-1)&amp;"*",'[1]Track 5 Day 1'!$C$1:$C$99,'[1]Track 5 Day 1'!$A$1:$A$99,,2),IFERROR(_xlfn.XLOOKUP("*"&amp;LEFT(C292,FIND(" ",C292&amp;" ")-1)&amp;"*",'[1]Track 5 Day 1'!$G$1:$G$99,'[1]Track 5 Day 1'!$E$1:$E$99,,2),"")),"")</f>
        <v>12:03 - 12:08</v>
      </c>
      <c r="J292" s="36" t="s">
        <v>768</v>
      </c>
      <c r="K292" s="40">
        <v>5.0999999999999996</v>
      </c>
    </row>
    <row r="293" spans="1:11" ht="14.25" customHeight="1" x14ac:dyDescent="0.35">
      <c r="A293">
        <v>292</v>
      </c>
      <c r="B293">
        <v>51292</v>
      </c>
      <c r="C293" t="s">
        <v>322</v>
      </c>
      <c r="D293" t="s">
        <v>16</v>
      </c>
      <c r="E293" s="36" t="s">
        <v>282</v>
      </c>
      <c r="F293" s="36" t="s">
        <v>312</v>
      </c>
      <c r="G293" s="40">
        <v>1</v>
      </c>
      <c r="H293" s="40" t="s">
        <v>279</v>
      </c>
      <c r="I293" t="str">
        <f>IF(H293="Track 5 Day 1",IFERROR(_xlfn.XLOOKUP("*"&amp;LEFT(C293,FIND(" ",C293&amp;" ")-1)&amp;"*",'[1]Track 5 Day 1'!$C$1:$C$99,'[1]Track 5 Day 1'!$A$1:$A$99,,2),IFERROR(_xlfn.XLOOKUP("*"&amp;LEFT(C293,FIND(" ",C293&amp;" ")-1)&amp;"*",'[1]Track 5 Day 1'!$G$1:$G$99,'[1]Track 5 Day 1'!$E$1:$E$99,,2),"")),"")</f>
        <v>12:09 - 12:14</v>
      </c>
      <c r="J293" s="36" t="s">
        <v>769</v>
      </c>
      <c r="K293" s="40">
        <v>5.0999999999999996</v>
      </c>
    </row>
    <row r="294" spans="1:11" ht="14.25" customHeight="1" x14ac:dyDescent="0.35">
      <c r="A294">
        <v>293</v>
      </c>
      <c r="B294">
        <v>51293</v>
      </c>
      <c r="C294" t="s">
        <v>323</v>
      </c>
      <c r="D294" t="s">
        <v>18</v>
      </c>
      <c r="E294" s="36" t="s">
        <v>282</v>
      </c>
      <c r="F294" s="36" t="s">
        <v>312</v>
      </c>
      <c r="G294" s="40">
        <v>1</v>
      </c>
      <c r="H294" s="40" t="s">
        <v>279</v>
      </c>
      <c r="I294" t="str">
        <f>IF(H294="Track 5 Day 1",IFERROR(_xlfn.XLOOKUP("*"&amp;LEFT(C294,FIND(" ",C294&amp;" ")-1)&amp;"*",'[1]Track 5 Day 1'!$C$1:$C$99,'[1]Track 5 Day 1'!$A$1:$A$99,,2),IFERROR(_xlfn.XLOOKUP("*"&amp;LEFT(C294,FIND(" ",C294&amp;" ")-1)&amp;"*",'[1]Track 5 Day 1'!$G$1:$G$99,'[1]Track 5 Day 1'!$E$1:$E$99,,2),"")),"")</f>
        <v>12:15 - 12:20</v>
      </c>
      <c r="J294" s="36" t="s">
        <v>770</v>
      </c>
      <c r="K294" s="40">
        <v>5.0999999999999996</v>
      </c>
    </row>
    <row r="295" spans="1:11" ht="14.25" customHeight="1" x14ac:dyDescent="0.35">
      <c r="A295">
        <v>294</v>
      </c>
      <c r="B295">
        <v>51294</v>
      </c>
      <c r="C295" t="s">
        <v>149</v>
      </c>
      <c r="D295" t="s">
        <v>150</v>
      </c>
      <c r="E295" s="36" t="s">
        <v>277</v>
      </c>
      <c r="F295" s="36" t="s">
        <v>324</v>
      </c>
      <c r="G295" s="40">
        <v>1</v>
      </c>
      <c r="H295" s="40" t="s">
        <v>279</v>
      </c>
      <c r="I295" t="str">
        <f>IF(H295="Track 5 Day 1",IFERROR(_xlfn.XLOOKUP("*"&amp;LEFT(C295,FIND(" ",C295&amp;" ")-1)&amp;"*",'[1]Track 5 Day 1'!$C$1:$C$99,'[1]Track 5 Day 1'!$A$1:$A$99,,2),IFERROR(_xlfn.XLOOKUP("*"&amp;LEFT(C295,FIND(" ",C295&amp;" ")-1)&amp;"*",'[1]Track 5 Day 1'!$G$1:$G$99,'[1]Track 5 Day 1'!$E$1:$E$99,,2),"")),"")</f>
        <v/>
      </c>
      <c r="J295" t="s">
        <v>134</v>
      </c>
      <c r="K295" s="40">
        <v>5.0999999999999996</v>
      </c>
    </row>
    <row r="296" spans="1:11" ht="14.25" customHeight="1" x14ac:dyDescent="0.35">
      <c r="A296">
        <v>295</v>
      </c>
      <c r="B296">
        <v>51295</v>
      </c>
      <c r="C296" t="s">
        <v>325</v>
      </c>
      <c r="D296" t="s">
        <v>16</v>
      </c>
      <c r="E296" s="36" t="s">
        <v>277</v>
      </c>
      <c r="F296" s="36" t="s">
        <v>324</v>
      </c>
      <c r="G296" s="40">
        <v>1</v>
      </c>
      <c r="H296" s="40" t="s">
        <v>279</v>
      </c>
      <c r="I296" t="str">
        <f>IF(H296="Track 5 Day 1",IFERROR(_xlfn.XLOOKUP("*"&amp;LEFT(C296,FIND(" ",C296&amp;" ")-1)&amp;"*",'[1]Track 5 Day 1'!$C$1:$C$99,'[1]Track 5 Day 1'!$A$1:$A$99,,2),IFERROR(_xlfn.XLOOKUP("*"&amp;LEFT(C296,FIND(" ",C296&amp;" ")-1)&amp;"*",'[1]Track 5 Day 1'!$G$1:$G$99,'[1]Track 5 Day 1'!$E$1:$E$99,,2),"")),"")</f>
        <v/>
      </c>
      <c r="J296" s="36" t="s">
        <v>134</v>
      </c>
      <c r="K296" s="40">
        <v>5.0999999999999996</v>
      </c>
    </row>
    <row r="297" spans="1:11" ht="14.25" customHeight="1" x14ac:dyDescent="0.35">
      <c r="A297">
        <v>296</v>
      </c>
      <c r="B297">
        <v>51296</v>
      </c>
      <c r="C297" t="s">
        <v>326</v>
      </c>
      <c r="D297" t="s">
        <v>39</v>
      </c>
      <c r="E297" s="36" t="s">
        <v>282</v>
      </c>
      <c r="F297" s="36" t="s">
        <v>324</v>
      </c>
      <c r="G297" s="40">
        <v>1</v>
      </c>
      <c r="H297" s="40" t="s">
        <v>279</v>
      </c>
      <c r="I297" t="str">
        <f>IF(H297="Track 5 Day 1",IFERROR(_xlfn.XLOOKUP("*"&amp;LEFT(C297,FIND(" ",C297&amp;" ")-1)&amp;"*",'[1]Track 5 Day 1'!$C$1:$C$99,'[1]Track 5 Day 1'!$A$1:$A$99,,2),IFERROR(_xlfn.XLOOKUP("*"&amp;LEFT(C297,FIND(" ",C297&amp;" ")-1)&amp;"*",'[1]Track 5 Day 1'!$G$1:$G$99,'[1]Track 5 Day 1'!$E$1:$E$99,,2),"")),"")</f>
        <v>12:30 - 12:36</v>
      </c>
      <c r="J297" s="36" t="s">
        <v>771</v>
      </c>
      <c r="K297" s="40">
        <v>5.0999999999999996</v>
      </c>
    </row>
    <row r="298" spans="1:11" ht="14.25" customHeight="1" x14ac:dyDescent="0.35">
      <c r="A298">
        <v>297</v>
      </c>
      <c r="B298">
        <v>51297</v>
      </c>
      <c r="C298" t="s">
        <v>327</v>
      </c>
      <c r="D298" t="s">
        <v>18</v>
      </c>
      <c r="E298" s="36" t="s">
        <v>282</v>
      </c>
      <c r="F298" s="36" t="s">
        <v>324</v>
      </c>
      <c r="G298" s="40">
        <v>1</v>
      </c>
      <c r="H298" s="40" t="s">
        <v>279</v>
      </c>
      <c r="I298" t="str">
        <f>IF(H298="Track 5 Day 1",IFERROR(_xlfn.XLOOKUP("*"&amp;LEFT(C298,FIND(" ",C298&amp;" ")-1)&amp;"*",'[1]Track 5 Day 1'!$C$1:$C$99,'[1]Track 5 Day 1'!$A$1:$A$99,,2),IFERROR(_xlfn.XLOOKUP("*"&amp;LEFT(C298,FIND(" ",C298&amp;" ")-1)&amp;"*",'[1]Track 5 Day 1'!$G$1:$G$99,'[1]Track 5 Day 1'!$E$1:$E$99,,2),"")),"")</f>
        <v>12:37 - 12:42</v>
      </c>
      <c r="J298" s="36" t="s">
        <v>772</v>
      </c>
      <c r="K298" s="40">
        <v>5.0999999999999996</v>
      </c>
    </row>
    <row r="299" spans="1:11" ht="14.25" customHeight="1" x14ac:dyDescent="0.35">
      <c r="A299">
        <v>298</v>
      </c>
      <c r="B299">
        <v>51298</v>
      </c>
      <c r="C299" t="s">
        <v>328</v>
      </c>
      <c r="D299" t="s">
        <v>39</v>
      </c>
      <c r="E299" s="36" t="s">
        <v>282</v>
      </c>
      <c r="F299" s="36" t="s">
        <v>324</v>
      </c>
      <c r="G299" s="40">
        <v>1</v>
      </c>
      <c r="H299" s="40" t="s">
        <v>279</v>
      </c>
      <c r="I299" t="str">
        <f>IF(H299="Track 5 Day 1",IFERROR(_xlfn.XLOOKUP("*"&amp;LEFT(C299,FIND(" ",C299&amp;" ")-1)&amp;"*",'[1]Track 5 Day 1'!$C$1:$C$99,'[1]Track 5 Day 1'!$A$1:$A$99,,2),IFERROR(_xlfn.XLOOKUP("*"&amp;LEFT(C299,FIND(" ",C299&amp;" ")-1)&amp;"*",'[1]Track 5 Day 1'!$G$1:$G$99,'[1]Track 5 Day 1'!$E$1:$E$99,,2),"")),"")</f>
        <v>12:43 - 12:48</v>
      </c>
      <c r="J299" s="36" t="s">
        <v>773</v>
      </c>
      <c r="K299" s="40">
        <v>5.0999999999999996</v>
      </c>
    </row>
    <row r="300" spans="1:11" ht="14.25" customHeight="1" x14ac:dyDescent="0.35">
      <c r="A300">
        <v>299</v>
      </c>
      <c r="B300">
        <v>51299</v>
      </c>
      <c r="C300" t="s">
        <v>329</v>
      </c>
      <c r="D300" t="s">
        <v>39</v>
      </c>
      <c r="E300" s="36" t="s">
        <v>282</v>
      </c>
      <c r="F300" s="36" t="s">
        <v>324</v>
      </c>
      <c r="G300" s="40">
        <v>1</v>
      </c>
      <c r="H300" s="40" t="s">
        <v>279</v>
      </c>
      <c r="I300" t="str">
        <f>IF(H300="Track 5 Day 1",IFERROR(_xlfn.XLOOKUP("*"&amp;LEFT(C300,FIND(" ",C300&amp;" ")-1)&amp;"*",'[1]Track 5 Day 1'!$C$1:$C$99,'[1]Track 5 Day 1'!$A$1:$A$99,,2),IFERROR(_xlfn.XLOOKUP("*"&amp;LEFT(C300,FIND(" ",C300&amp;" ")-1)&amp;"*",'[1]Track 5 Day 1'!$G$1:$G$99,'[1]Track 5 Day 1'!$E$1:$E$99,,2),"")),"")</f>
        <v>12:49 - 12:54</v>
      </c>
      <c r="J300" s="36" t="s">
        <v>774</v>
      </c>
      <c r="K300" s="40">
        <v>5.0999999999999996</v>
      </c>
    </row>
    <row r="301" spans="1:11" ht="14.25" customHeight="1" x14ac:dyDescent="0.35">
      <c r="A301">
        <v>300</v>
      </c>
      <c r="B301">
        <v>51300</v>
      </c>
      <c r="C301" t="s">
        <v>330</v>
      </c>
      <c r="D301" t="s">
        <v>39</v>
      </c>
      <c r="E301" s="36" t="s">
        <v>282</v>
      </c>
      <c r="F301" s="36" t="s">
        <v>324</v>
      </c>
      <c r="G301" s="40">
        <v>1</v>
      </c>
      <c r="H301" s="40" t="s">
        <v>279</v>
      </c>
      <c r="I301" t="str">
        <f>IF(H301="Track 5 Day 1",IFERROR(_xlfn.XLOOKUP("*"&amp;LEFT(C301,FIND(" ",C301&amp;" ")-1)&amp;"*",'[1]Track 5 Day 1'!$C$1:$C$99,'[1]Track 5 Day 1'!$A$1:$A$99,,2),IFERROR(_xlfn.XLOOKUP("*"&amp;LEFT(C301,FIND(" ",C301&amp;" ")-1)&amp;"*",'[1]Track 5 Day 1'!$G$1:$G$99,'[1]Track 5 Day 1'!$E$1:$E$99,,2),"")),"")</f>
        <v>12:55 - 13:00</v>
      </c>
      <c r="J301" s="36" t="s">
        <v>775</v>
      </c>
      <c r="K301" s="40">
        <v>5.0999999999999996</v>
      </c>
    </row>
    <row r="302" spans="1:11" ht="14.25" customHeight="1" x14ac:dyDescent="0.35">
      <c r="A302">
        <v>301</v>
      </c>
      <c r="B302">
        <v>51301</v>
      </c>
      <c r="C302" t="s">
        <v>331</v>
      </c>
      <c r="D302" t="s">
        <v>188</v>
      </c>
      <c r="E302" s="36" t="s">
        <v>282</v>
      </c>
      <c r="F302" s="36" t="s">
        <v>324</v>
      </c>
      <c r="G302" s="40">
        <v>1</v>
      </c>
      <c r="H302" s="40" t="s">
        <v>279</v>
      </c>
      <c r="I302" t="str">
        <f>IF(H302="Track 5 Day 1",IFERROR(_xlfn.XLOOKUP("*"&amp;LEFT(C302,FIND(" ",C302&amp;" ")-1)&amp;"*",'[1]Track 5 Day 1'!$C$1:$C$99,'[1]Track 5 Day 1'!$A$1:$A$99,,2),IFERROR(_xlfn.XLOOKUP("*"&amp;LEFT(C302,FIND(" ",C302&amp;" ")-1)&amp;"*",'[1]Track 5 Day 1'!$G$1:$G$99,'[1]Track 5 Day 1'!$E$1:$E$99,,2),"")),"")</f>
        <v>13:01 - 13:06</v>
      </c>
      <c r="J302" s="36" t="s">
        <v>776</v>
      </c>
      <c r="K302" s="40">
        <v>5.0999999999999996</v>
      </c>
    </row>
    <row r="303" spans="1:11" ht="14.25" customHeight="1" x14ac:dyDescent="0.35">
      <c r="A303">
        <v>302</v>
      </c>
      <c r="B303">
        <v>51302</v>
      </c>
      <c r="C303" t="s">
        <v>332</v>
      </c>
      <c r="D303" t="s">
        <v>333</v>
      </c>
      <c r="E303" s="36" t="s">
        <v>282</v>
      </c>
      <c r="F303" s="36" t="s">
        <v>324</v>
      </c>
      <c r="G303" s="40">
        <v>1</v>
      </c>
      <c r="H303" s="40" t="s">
        <v>279</v>
      </c>
      <c r="I303" t="str">
        <f>IF(H303="Track 5 Day 1",IFERROR(_xlfn.XLOOKUP("*"&amp;LEFT(C303,FIND(" ",C303&amp;" ")-1)&amp;"*",'[1]Track 5 Day 1'!$C$1:$C$99,'[1]Track 5 Day 1'!$A$1:$A$99,,2),IFERROR(_xlfn.XLOOKUP("*"&amp;LEFT(C303,FIND(" ",C303&amp;" ")-1)&amp;"*",'[1]Track 5 Day 1'!$G$1:$G$99,'[1]Track 5 Day 1'!$E$1:$E$99,,2),"")),"")</f>
        <v>13:07 - 13:12</v>
      </c>
      <c r="J303" s="36" t="s">
        <v>777</v>
      </c>
      <c r="K303" s="40">
        <v>5.0999999999999996</v>
      </c>
    </row>
    <row r="304" spans="1:11" ht="14.25" customHeight="1" x14ac:dyDescent="0.35">
      <c r="A304">
        <v>303</v>
      </c>
      <c r="B304">
        <v>51303</v>
      </c>
      <c r="C304" t="s">
        <v>334</v>
      </c>
      <c r="D304" t="s">
        <v>18</v>
      </c>
      <c r="E304" s="36" t="s">
        <v>282</v>
      </c>
      <c r="F304" s="36" t="s">
        <v>324</v>
      </c>
      <c r="G304" s="40">
        <v>1</v>
      </c>
      <c r="H304" s="40" t="s">
        <v>279</v>
      </c>
      <c r="I304" t="str">
        <f>IF(H304="Track 5 Day 1",IFERROR(_xlfn.XLOOKUP("*"&amp;LEFT(C304,FIND(" ",C304&amp;" ")-1)&amp;"*",'[1]Track 5 Day 1'!$C$1:$C$99,'[1]Track 5 Day 1'!$A$1:$A$99,,2),IFERROR(_xlfn.XLOOKUP("*"&amp;LEFT(C304,FIND(" ",C304&amp;" ")-1)&amp;"*",'[1]Track 5 Day 1'!$G$1:$G$99,'[1]Track 5 Day 1'!$E$1:$E$99,,2),"")),"")</f>
        <v>13:13 - 13:18</v>
      </c>
      <c r="J304" s="36" t="s">
        <v>778</v>
      </c>
      <c r="K304" s="40">
        <v>5.0999999999999996</v>
      </c>
    </row>
    <row r="305" spans="1:11" ht="14.25" customHeight="1" x14ac:dyDescent="0.35">
      <c r="A305">
        <v>304</v>
      </c>
      <c r="B305">
        <v>51304</v>
      </c>
      <c r="C305" t="s">
        <v>335</v>
      </c>
      <c r="D305" t="s">
        <v>18</v>
      </c>
      <c r="E305" s="36" t="s">
        <v>282</v>
      </c>
      <c r="F305" s="36" t="s">
        <v>324</v>
      </c>
      <c r="G305" s="40">
        <v>1</v>
      </c>
      <c r="H305" s="40" t="s">
        <v>279</v>
      </c>
      <c r="I305" t="str">
        <f>IF(H305="Track 5 Day 1",IFERROR(_xlfn.XLOOKUP("*"&amp;LEFT(C305,FIND(" ",C305&amp;" ")-1)&amp;"*",'[1]Track 5 Day 1'!$C$1:$C$99,'[1]Track 5 Day 1'!$A$1:$A$99,,2),IFERROR(_xlfn.XLOOKUP("*"&amp;LEFT(C305,FIND(" ",C305&amp;" ")-1)&amp;"*",'[1]Track 5 Day 1'!$G$1:$G$99,'[1]Track 5 Day 1'!$E$1:$E$99,,2),"")),"")</f>
        <v>13:19 - 13:24</v>
      </c>
      <c r="J305" s="36" t="s">
        <v>779</v>
      </c>
      <c r="K305" s="40">
        <v>5.0999999999999996</v>
      </c>
    </row>
    <row r="306" spans="1:11" ht="14.25" customHeight="1" x14ac:dyDescent="0.35">
      <c r="A306">
        <v>305</v>
      </c>
      <c r="B306">
        <v>51305</v>
      </c>
      <c r="C306" t="s">
        <v>237</v>
      </c>
      <c r="D306" t="s">
        <v>70</v>
      </c>
      <c r="E306" s="36" t="s">
        <v>282</v>
      </c>
      <c r="F306" s="36" t="s">
        <v>324</v>
      </c>
      <c r="G306" s="40">
        <v>1</v>
      </c>
      <c r="H306" s="40" t="s">
        <v>279</v>
      </c>
      <c r="I306" t="str">
        <f>IF(H306="Track 5 Day 1",IFERROR(_xlfn.XLOOKUP("*"&amp;LEFT(C306,FIND(" ",C306&amp;" ")-1)&amp;"*",'[1]Track 5 Day 1'!$C$1:$C$99,'[1]Track 5 Day 1'!$A$1:$A$99,,2),IFERROR(_xlfn.XLOOKUP("*"&amp;LEFT(C306,FIND(" ",C306&amp;" ")-1)&amp;"*",'[1]Track 5 Day 1'!$G$1:$G$99,'[1]Track 5 Day 1'!$E$1:$E$99,,2),"")),"")</f>
        <v>13:25 - 13:30</v>
      </c>
      <c r="J306" s="36" t="s">
        <v>780</v>
      </c>
      <c r="K306" s="40">
        <v>5.0999999999999996</v>
      </c>
    </row>
    <row r="307" spans="1:11" ht="14.25" customHeight="1" x14ac:dyDescent="0.35">
      <c r="A307">
        <v>306</v>
      </c>
      <c r="B307">
        <v>51306</v>
      </c>
      <c r="C307" t="s">
        <v>74</v>
      </c>
      <c r="D307" t="s">
        <v>75</v>
      </c>
      <c r="E307" s="36" t="s">
        <v>277</v>
      </c>
      <c r="F307" s="36" t="s">
        <v>336</v>
      </c>
      <c r="G307" s="40">
        <v>1</v>
      </c>
      <c r="H307" s="40" t="s">
        <v>279</v>
      </c>
      <c r="I307" t="str">
        <f>IF(H307="Track 5 Day 1",IFERROR(_xlfn.XLOOKUP("*"&amp;LEFT(C307,FIND(" ",C307&amp;" ")-1)&amp;"*",'[1]Track 5 Day 1'!$C$1:$C$99,'[1]Track 5 Day 1'!$A$1:$A$99,,2),IFERROR(_xlfn.XLOOKUP("*"&amp;LEFT(C307,FIND(" ",C307&amp;" ")-1)&amp;"*",'[1]Track 5 Day 1'!$G$1:$G$99,'[1]Track 5 Day 1'!$E$1:$E$99,,2),"")),"")</f>
        <v/>
      </c>
      <c r="J307" t="s">
        <v>134</v>
      </c>
      <c r="K307" s="40">
        <v>5.0999999999999996</v>
      </c>
    </row>
    <row r="308" spans="1:11" ht="14.25" customHeight="1" x14ac:dyDescent="0.35">
      <c r="A308">
        <v>307</v>
      </c>
      <c r="B308">
        <v>51307</v>
      </c>
      <c r="C308" t="s">
        <v>15</v>
      </c>
      <c r="D308" t="s">
        <v>16</v>
      </c>
      <c r="E308" s="36" t="s">
        <v>277</v>
      </c>
      <c r="F308" s="36" t="s">
        <v>336</v>
      </c>
      <c r="G308" s="40">
        <v>1</v>
      </c>
      <c r="H308" s="40" t="s">
        <v>279</v>
      </c>
      <c r="I308" t="str">
        <f>IF(H308="Track 5 Day 1",IFERROR(_xlfn.XLOOKUP("*"&amp;LEFT(C308,FIND(" ",C308&amp;" ")-1)&amp;"*",'[1]Track 5 Day 1'!$C$1:$C$99,'[1]Track 5 Day 1'!$A$1:$A$99,,2),IFERROR(_xlfn.XLOOKUP("*"&amp;LEFT(C308,FIND(" ",C308&amp;" ")-1)&amp;"*",'[1]Track 5 Day 1'!$G$1:$G$99,'[1]Track 5 Day 1'!$E$1:$E$99,,2),"")),"")</f>
        <v/>
      </c>
      <c r="J308" t="s">
        <v>134</v>
      </c>
      <c r="K308" s="40">
        <v>5.0999999999999996</v>
      </c>
    </row>
    <row r="309" spans="1:11" ht="14.25" customHeight="1" x14ac:dyDescent="0.35">
      <c r="A309">
        <v>308</v>
      </c>
      <c r="B309">
        <v>51308</v>
      </c>
      <c r="C309" t="s">
        <v>337</v>
      </c>
      <c r="D309" t="s">
        <v>338</v>
      </c>
      <c r="E309" s="36" t="s">
        <v>282</v>
      </c>
      <c r="F309" s="36" t="s">
        <v>336</v>
      </c>
      <c r="G309" s="40">
        <v>1</v>
      </c>
      <c r="H309" s="40" t="s">
        <v>279</v>
      </c>
      <c r="I309" t="str">
        <f>IF(H309="Track 5 Day 1",IFERROR(_xlfn.XLOOKUP("*"&amp;LEFT(C309,FIND(" ",C309&amp;" ")-1)&amp;"*",'[1]Track 5 Day 1'!$C$1:$C$99,'[1]Track 5 Day 1'!$A$1:$A$99,,2),IFERROR(_xlfn.XLOOKUP("*"&amp;LEFT(C309,FIND(" ",C309&amp;" ")-1)&amp;"*",'[1]Track 5 Day 1'!$G$1:$G$99,'[1]Track 5 Day 1'!$E$1:$E$99,,2),"")),"")</f>
        <v>14:30 - 14:36</v>
      </c>
      <c r="J309" s="36" t="s">
        <v>781</v>
      </c>
      <c r="K309" s="40">
        <v>5.0999999999999996</v>
      </c>
    </row>
    <row r="310" spans="1:11" ht="14.25" customHeight="1" x14ac:dyDescent="0.35">
      <c r="A310">
        <v>309</v>
      </c>
      <c r="B310">
        <v>51309</v>
      </c>
      <c r="C310" t="s">
        <v>339</v>
      </c>
      <c r="D310" t="s">
        <v>235</v>
      </c>
      <c r="E310" s="36" t="s">
        <v>282</v>
      </c>
      <c r="F310" s="36" t="s">
        <v>336</v>
      </c>
      <c r="G310" s="40">
        <v>1</v>
      </c>
      <c r="H310" s="40" t="s">
        <v>279</v>
      </c>
      <c r="I310" t="str">
        <f>IF(H310="Track 5 Day 1",IFERROR(_xlfn.XLOOKUP("*"&amp;LEFT(C310,FIND(" ",C310&amp;" ")-1)&amp;"*",'[1]Track 5 Day 1'!$C$1:$C$99,'[1]Track 5 Day 1'!$A$1:$A$99,,2),IFERROR(_xlfn.XLOOKUP("*"&amp;LEFT(C310,FIND(" ",C310&amp;" ")-1)&amp;"*",'[1]Track 5 Day 1'!$G$1:$G$99,'[1]Track 5 Day 1'!$E$1:$E$99,,2),"")),"")</f>
        <v>14:37 - 14:42</v>
      </c>
      <c r="J310" s="36" t="s">
        <v>782</v>
      </c>
      <c r="K310" s="40">
        <v>5.0999999999999996</v>
      </c>
    </row>
    <row r="311" spans="1:11" ht="14.25" customHeight="1" x14ac:dyDescent="0.35">
      <c r="A311">
        <v>310</v>
      </c>
      <c r="B311">
        <v>51310</v>
      </c>
      <c r="C311" t="s">
        <v>340</v>
      </c>
      <c r="D311" t="s">
        <v>262</v>
      </c>
      <c r="E311" s="36" t="s">
        <v>282</v>
      </c>
      <c r="F311" s="36" t="s">
        <v>336</v>
      </c>
      <c r="G311" s="40">
        <v>1</v>
      </c>
      <c r="H311" s="40" t="s">
        <v>279</v>
      </c>
      <c r="I311" t="str">
        <f>IF(H311="Track 5 Day 1",IFERROR(_xlfn.XLOOKUP("*"&amp;LEFT(C311,FIND(" ",C311&amp;" ")-1)&amp;"*",'[1]Track 5 Day 1'!$C$1:$C$99,'[1]Track 5 Day 1'!$A$1:$A$99,,2),IFERROR(_xlfn.XLOOKUP("*"&amp;LEFT(C311,FIND(" ",C311&amp;" ")-1)&amp;"*",'[1]Track 5 Day 1'!$G$1:$G$99,'[1]Track 5 Day 1'!$E$1:$E$99,,2),"")),"")</f>
        <v>14:43 - 14:48</v>
      </c>
      <c r="J311" s="36" t="s">
        <v>783</v>
      </c>
      <c r="K311" s="40">
        <v>5.0999999999999996</v>
      </c>
    </row>
    <row r="312" spans="1:11" ht="14.25" customHeight="1" x14ac:dyDescent="0.35">
      <c r="A312">
        <v>311</v>
      </c>
      <c r="B312">
        <v>51311</v>
      </c>
      <c r="C312" t="s">
        <v>17</v>
      </c>
      <c r="D312" t="s">
        <v>18</v>
      </c>
      <c r="E312" s="36" t="s">
        <v>282</v>
      </c>
      <c r="F312" s="36" t="s">
        <v>336</v>
      </c>
      <c r="G312" s="40">
        <v>1</v>
      </c>
      <c r="H312" s="40" t="s">
        <v>279</v>
      </c>
      <c r="I312" t="str">
        <f>IF(H312="Track 5 Day 1",IFERROR(_xlfn.XLOOKUP("*"&amp;LEFT(C312,FIND(" ",C312&amp;" ")-1)&amp;"*",'[1]Track 5 Day 1'!$C$1:$C$99,'[1]Track 5 Day 1'!$A$1:$A$99,,2),IFERROR(_xlfn.XLOOKUP("*"&amp;LEFT(C312,FIND(" ",C312&amp;" ")-1)&amp;"*",'[1]Track 5 Day 1'!$G$1:$G$99,'[1]Track 5 Day 1'!$E$1:$E$99,,2),"")),"")</f>
        <v>14:49 - 14:54</v>
      </c>
      <c r="J312" s="36" t="s">
        <v>784</v>
      </c>
      <c r="K312" s="40">
        <v>5.0999999999999996</v>
      </c>
    </row>
    <row r="313" spans="1:11" ht="14.25" customHeight="1" x14ac:dyDescent="0.35">
      <c r="A313">
        <v>312</v>
      </c>
      <c r="B313">
        <v>51312</v>
      </c>
      <c r="C313" t="s">
        <v>48</v>
      </c>
      <c r="D313" t="s">
        <v>49</v>
      </c>
      <c r="E313" s="36" t="s">
        <v>282</v>
      </c>
      <c r="F313" s="36" t="s">
        <v>336</v>
      </c>
      <c r="G313" s="40">
        <v>1</v>
      </c>
      <c r="H313" s="40" t="s">
        <v>279</v>
      </c>
      <c r="I313" t="str">
        <f>IF(H313="Track 5 Day 1",IFERROR(_xlfn.XLOOKUP("*"&amp;LEFT(C313,FIND(" ",C313&amp;" ")-1)&amp;"*",'[1]Track 5 Day 1'!$C$1:$C$99,'[1]Track 5 Day 1'!$A$1:$A$99,,2),IFERROR(_xlfn.XLOOKUP("*"&amp;LEFT(C313,FIND(" ",C313&amp;" ")-1)&amp;"*",'[1]Track 5 Day 1'!$G$1:$G$99,'[1]Track 5 Day 1'!$E$1:$E$99,,2),"")),"")</f>
        <v>14:55 - 15:00</v>
      </c>
      <c r="J313" s="36" t="s">
        <v>785</v>
      </c>
      <c r="K313" s="40">
        <v>5.0999999999999996</v>
      </c>
    </row>
    <row r="314" spans="1:11" ht="14.25" customHeight="1" x14ac:dyDescent="0.35">
      <c r="A314">
        <v>313</v>
      </c>
      <c r="B314">
        <v>51313</v>
      </c>
      <c r="C314" t="s">
        <v>341</v>
      </c>
      <c r="D314" t="s">
        <v>18</v>
      </c>
      <c r="E314" s="36" t="s">
        <v>282</v>
      </c>
      <c r="F314" s="36" t="s">
        <v>336</v>
      </c>
      <c r="G314" s="40">
        <v>1</v>
      </c>
      <c r="H314" s="40" t="s">
        <v>279</v>
      </c>
      <c r="I314" t="str">
        <f>IF(H314="Track 5 Day 1",IFERROR(_xlfn.XLOOKUP("*"&amp;LEFT(C314,FIND(" ",C314&amp;" ")-1)&amp;"*",'[1]Track 5 Day 1'!$C$1:$C$99,'[1]Track 5 Day 1'!$A$1:$A$99,,2),IFERROR(_xlfn.XLOOKUP("*"&amp;LEFT(C314,FIND(" ",C314&amp;" ")-1)&amp;"*",'[1]Track 5 Day 1'!$G$1:$G$99,'[1]Track 5 Day 1'!$E$1:$E$99,,2),"")),"")</f>
        <v>15:01 - 15:06</v>
      </c>
      <c r="J314" s="36" t="s">
        <v>786</v>
      </c>
      <c r="K314" s="40">
        <v>5.0999999999999996</v>
      </c>
    </row>
    <row r="315" spans="1:11" ht="14.25" customHeight="1" x14ac:dyDescent="0.35">
      <c r="A315">
        <v>314</v>
      </c>
      <c r="B315">
        <v>51314</v>
      </c>
      <c r="C315" t="s">
        <v>342</v>
      </c>
      <c r="D315" t="s">
        <v>53</v>
      </c>
      <c r="E315" s="36" t="s">
        <v>282</v>
      </c>
      <c r="F315" s="36" t="s">
        <v>336</v>
      </c>
      <c r="G315" s="40">
        <v>1</v>
      </c>
      <c r="H315" s="40" t="s">
        <v>279</v>
      </c>
      <c r="I315" t="str">
        <f>IF(H315="Track 5 Day 1",IFERROR(_xlfn.XLOOKUP("*"&amp;LEFT(C315,FIND(" ",C315&amp;" ")-1)&amp;"*",'[1]Track 5 Day 1'!$C$1:$C$99,'[1]Track 5 Day 1'!$A$1:$A$99,,2),IFERROR(_xlfn.XLOOKUP("*"&amp;LEFT(C315,FIND(" ",C315&amp;" ")-1)&amp;"*",'[1]Track 5 Day 1'!$G$1:$G$99,'[1]Track 5 Day 1'!$E$1:$E$99,,2),"")),"")</f>
        <v>15:07 - 15:12</v>
      </c>
      <c r="J315" s="36" t="s">
        <v>787</v>
      </c>
      <c r="K315" s="40">
        <v>5.0999999999999996</v>
      </c>
    </row>
    <row r="316" spans="1:11" ht="14.25" customHeight="1" x14ac:dyDescent="0.35">
      <c r="A316">
        <v>315</v>
      </c>
      <c r="B316">
        <v>51315</v>
      </c>
      <c r="C316" t="s">
        <v>343</v>
      </c>
      <c r="D316" t="s">
        <v>344</v>
      </c>
      <c r="E316" s="36" t="s">
        <v>282</v>
      </c>
      <c r="F316" s="36" t="s">
        <v>336</v>
      </c>
      <c r="G316" s="40">
        <v>1</v>
      </c>
      <c r="H316" s="40" t="s">
        <v>279</v>
      </c>
      <c r="I316" t="str">
        <f>IF(H316="Track 5 Day 1",IFERROR(_xlfn.XLOOKUP("*"&amp;LEFT(C316,FIND(" ",C316&amp;" ")-1)&amp;"*",'[1]Track 5 Day 1'!$C$1:$C$99,'[1]Track 5 Day 1'!$A$1:$A$99,,2),IFERROR(_xlfn.XLOOKUP("*"&amp;LEFT(C316,FIND(" ",C316&amp;" ")-1)&amp;"*",'[1]Track 5 Day 1'!$G$1:$G$99,'[1]Track 5 Day 1'!$E$1:$E$99,,2),"")),"")</f>
        <v>15:13 - 15:18</v>
      </c>
      <c r="J316" s="36" t="s">
        <v>788</v>
      </c>
      <c r="K316" s="40">
        <v>5.0999999999999996</v>
      </c>
    </row>
    <row r="317" spans="1:11" ht="14.25" customHeight="1" x14ac:dyDescent="0.35">
      <c r="A317">
        <v>316</v>
      </c>
      <c r="B317">
        <v>51316</v>
      </c>
      <c r="C317" t="s">
        <v>345</v>
      </c>
      <c r="D317" t="s">
        <v>22</v>
      </c>
      <c r="E317" s="36" t="s">
        <v>282</v>
      </c>
      <c r="F317" s="36" t="s">
        <v>336</v>
      </c>
      <c r="G317" s="40">
        <v>1</v>
      </c>
      <c r="H317" s="40" t="s">
        <v>279</v>
      </c>
      <c r="I317" t="str">
        <f>IF(H317="Track 5 Day 1",IFERROR(_xlfn.XLOOKUP("*"&amp;LEFT(C317,FIND(" ",C317&amp;" ")-1)&amp;"*",'[1]Track 5 Day 1'!$C$1:$C$99,'[1]Track 5 Day 1'!$A$1:$A$99,,2),IFERROR(_xlfn.XLOOKUP("*"&amp;LEFT(C317,FIND(" ",C317&amp;" ")-1)&amp;"*",'[1]Track 5 Day 1'!$G$1:$G$99,'[1]Track 5 Day 1'!$E$1:$E$99,,2),"")),"")</f>
        <v>15:19 - 15:24</v>
      </c>
      <c r="J317" s="36" t="s">
        <v>789</v>
      </c>
      <c r="K317" s="40">
        <v>5.0999999999999996</v>
      </c>
    </row>
    <row r="318" spans="1:11" ht="14.25" customHeight="1" x14ac:dyDescent="0.35">
      <c r="A318">
        <v>317</v>
      </c>
      <c r="B318">
        <v>51317</v>
      </c>
      <c r="C318" t="s">
        <v>186</v>
      </c>
      <c r="D318" t="s">
        <v>94</v>
      </c>
      <c r="E318" s="36" t="s">
        <v>277</v>
      </c>
      <c r="F318" s="36" t="s">
        <v>346</v>
      </c>
      <c r="G318" s="40">
        <v>1</v>
      </c>
      <c r="H318" s="40" t="s">
        <v>279</v>
      </c>
      <c r="I318" t="str">
        <f>IF(H318="Track 5 Day 1",IFERROR(_xlfn.XLOOKUP("*"&amp;LEFT(C318,FIND(" ",C318&amp;" ")-1)&amp;"*",'[1]Track 5 Day 1'!$C$1:$C$99,'[1]Track 5 Day 1'!$A$1:$A$99,,2),IFERROR(_xlfn.XLOOKUP("*"&amp;LEFT(C318,FIND(" ",C318&amp;" ")-1)&amp;"*",'[1]Track 5 Day 1'!$G$1:$G$99,'[1]Track 5 Day 1'!$E$1:$E$99,,2),"")),"")</f>
        <v/>
      </c>
      <c r="J318" s="35" t="s">
        <v>134</v>
      </c>
      <c r="K318" s="40">
        <v>5.2</v>
      </c>
    </row>
    <row r="319" spans="1:11" ht="14.25" customHeight="1" x14ac:dyDescent="0.35">
      <c r="A319">
        <v>318</v>
      </c>
      <c r="B319">
        <v>51318</v>
      </c>
      <c r="C319" t="s">
        <v>79</v>
      </c>
      <c r="D319" t="s">
        <v>24</v>
      </c>
      <c r="E319" s="36" t="s">
        <v>277</v>
      </c>
      <c r="F319" s="36" t="s">
        <v>346</v>
      </c>
      <c r="G319" s="40">
        <v>1</v>
      </c>
      <c r="H319" s="40" t="s">
        <v>279</v>
      </c>
      <c r="I319" t="str">
        <f>IF(H319="Track 5 Day 1",IFERROR(_xlfn.XLOOKUP("*"&amp;LEFT(C319,FIND(" ",C319&amp;" ")-1)&amp;"*",'[1]Track 5 Day 1'!$C$1:$C$99,'[1]Track 5 Day 1'!$A$1:$A$99,,2),IFERROR(_xlfn.XLOOKUP("*"&amp;LEFT(C319,FIND(" ",C319&amp;" ")-1)&amp;"*",'[1]Track 5 Day 1'!$G$1:$G$99,'[1]Track 5 Day 1'!$E$1:$E$99,,2),"")),"")</f>
        <v/>
      </c>
      <c r="J319" t="s">
        <v>134</v>
      </c>
      <c r="K319" s="40">
        <v>5.2</v>
      </c>
    </row>
    <row r="320" spans="1:11" ht="14.25" customHeight="1" x14ac:dyDescent="0.35">
      <c r="A320">
        <v>319</v>
      </c>
      <c r="B320">
        <v>51319</v>
      </c>
      <c r="C320" t="s">
        <v>347</v>
      </c>
      <c r="D320" t="s">
        <v>18</v>
      </c>
      <c r="E320" s="36" t="s">
        <v>282</v>
      </c>
      <c r="F320" s="36" t="s">
        <v>346</v>
      </c>
      <c r="G320" s="40">
        <v>1</v>
      </c>
      <c r="H320" s="40" t="s">
        <v>279</v>
      </c>
      <c r="I320" t="str">
        <f>IF(H320="Track 5 Day 1",IFERROR(_xlfn.XLOOKUP("*"&amp;LEFT(C320,FIND(" ",C320&amp;" ")-1)&amp;"*",'[1]Track 5 Day 1'!$C$1:$C$99,'[1]Track 5 Day 1'!$A$1:$A$99,,2),IFERROR(_xlfn.XLOOKUP("*"&amp;LEFT(C320,FIND(" ",C320&amp;" ")-1)&amp;"*",'[1]Track 5 Day 1'!$G$1:$G$99,'[1]Track 5 Day 1'!$E$1:$E$99,,2),"")),"")</f>
        <v>9:00 - 9:06</v>
      </c>
      <c r="J320" s="36" t="s">
        <v>790</v>
      </c>
      <c r="K320" s="40">
        <v>5.2</v>
      </c>
    </row>
    <row r="321" spans="1:11" ht="14.25" customHeight="1" x14ac:dyDescent="0.35">
      <c r="A321">
        <v>320</v>
      </c>
      <c r="B321">
        <v>51320</v>
      </c>
      <c r="C321" t="s">
        <v>348</v>
      </c>
      <c r="D321" t="s">
        <v>16</v>
      </c>
      <c r="E321" s="36" t="s">
        <v>282</v>
      </c>
      <c r="F321" s="36" t="s">
        <v>346</v>
      </c>
      <c r="G321" s="40">
        <v>1</v>
      </c>
      <c r="H321" s="40" t="s">
        <v>279</v>
      </c>
      <c r="I321" t="str">
        <f>IF(H321="Track 5 Day 1",IFERROR(_xlfn.XLOOKUP("*"&amp;LEFT(C321,FIND(" ",C321&amp;" ")-1)&amp;"*",'[1]Track 5 Day 1'!$C$1:$C$99,'[1]Track 5 Day 1'!$A$1:$A$99,,2),IFERROR(_xlfn.XLOOKUP("*"&amp;LEFT(C321,FIND(" ",C321&amp;" ")-1)&amp;"*",'[1]Track 5 Day 1'!$G$1:$G$99,'[1]Track 5 Day 1'!$E$1:$E$99,,2),"")),"")</f>
        <v>9:07 - 9:12</v>
      </c>
      <c r="J321" s="36" t="s">
        <v>791</v>
      </c>
      <c r="K321" s="40">
        <v>5.2</v>
      </c>
    </row>
    <row r="322" spans="1:11" ht="14.25" customHeight="1" x14ac:dyDescent="0.35">
      <c r="A322">
        <v>321</v>
      </c>
      <c r="B322">
        <v>51321</v>
      </c>
      <c r="C322" t="s">
        <v>250</v>
      </c>
      <c r="D322" t="s">
        <v>18</v>
      </c>
      <c r="E322" s="36" t="s">
        <v>282</v>
      </c>
      <c r="F322" s="36" t="s">
        <v>346</v>
      </c>
      <c r="G322" s="40">
        <v>1</v>
      </c>
      <c r="H322" s="40" t="s">
        <v>279</v>
      </c>
      <c r="I322" t="str">
        <f>IF(H322="Track 5 Day 1",IFERROR(_xlfn.XLOOKUP("*"&amp;LEFT(C322,FIND(" ",C322&amp;" ")-1)&amp;"*",'[1]Track 5 Day 1'!$C$1:$C$99,'[1]Track 5 Day 1'!$A$1:$A$99,,2),IFERROR(_xlfn.XLOOKUP("*"&amp;LEFT(C322,FIND(" ",C322&amp;" ")-1)&amp;"*",'[1]Track 5 Day 1'!$G$1:$G$99,'[1]Track 5 Day 1'!$E$1:$E$99,,2),"")),"")</f>
        <v>9:13 - 9:18</v>
      </c>
      <c r="J322" s="36" t="s">
        <v>792</v>
      </c>
      <c r="K322" s="40">
        <v>5.2</v>
      </c>
    </row>
    <row r="323" spans="1:11" ht="14.25" customHeight="1" x14ac:dyDescent="0.35">
      <c r="A323">
        <v>322</v>
      </c>
      <c r="B323">
        <v>51322</v>
      </c>
      <c r="C323" t="s">
        <v>349</v>
      </c>
      <c r="D323" t="s">
        <v>31</v>
      </c>
      <c r="E323" s="36" t="s">
        <v>282</v>
      </c>
      <c r="F323" s="36" t="s">
        <v>346</v>
      </c>
      <c r="G323" s="40">
        <v>1</v>
      </c>
      <c r="H323" s="40" t="s">
        <v>279</v>
      </c>
      <c r="I323" t="str">
        <f>IF(H323="Track 5 Day 1",IFERROR(_xlfn.XLOOKUP("*"&amp;LEFT(C323,FIND(" ",C323&amp;" ")-1)&amp;"*",'[1]Track 5 Day 1'!$C$1:$C$99,'[1]Track 5 Day 1'!$A$1:$A$99,,2),IFERROR(_xlfn.XLOOKUP("*"&amp;LEFT(C323,FIND(" ",C323&amp;" ")-1)&amp;"*",'[1]Track 5 Day 1'!$G$1:$G$99,'[1]Track 5 Day 1'!$E$1:$E$99,,2),"")),"")</f>
        <v>9:19 - 9:24</v>
      </c>
      <c r="J323" s="36" t="s">
        <v>793</v>
      </c>
      <c r="K323" s="40">
        <v>5.2</v>
      </c>
    </row>
    <row r="324" spans="1:11" ht="14.25" customHeight="1" x14ac:dyDescent="0.35">
      <c r="A324">
        <v>323</v>
      </c>
      <c r="B324">
        <v>51323</v>
      </c>
      <c r="C324" t="s">
        <v>350</v>
      </c>
      <c r="D324" t="s">
        <v>39</v>
      </c>
      <c r="E324" s="36" t="s">
        <v>282</v>
      </c>
      <c r="F324" s="36" t="s">
        <v>346</v>
      </c>
      <c r="G324" s="40">
        <v>1</v>
      </c>
      <c r="H324" s="40" t="s">
        <v>279</v>
      </c>
      <c r="I324" t="str">
        <f>IF(H324="Track 5 Day 1",IFERROR(_xlfn.XLOOKUP("*"&amp;LEFT(C324,FIND(" ",C324&amp;" ")-1)&amp;"*",'[1]Track 5 Day 1'!$C$1:$C$99,'[1]Track 5 Day 1'!$A$1:$A$99,,2),IFERROR(_xlfn.XLOOKUP("*"&amp;LEFT(C324,FIND(" ",C324&amp;" ")-1)&amp;"*",'[1]Track 5 Day 1'!$G$1:$G$99,'[1]Track 5 Day 1'!$E$1:$E$99,,2),"")),"")</f>
        <v>9:25 - 9:30</v>
      </c>
      <c r="J324" s="36" t="s">
        <v>794</v>
      </c>
      <c r="K324" s="40">
        <v>5.2</v>
      </c>
    </row>
    <row r="325" spans="1:11" ht="14.25" customHeight="1" x14ac:dyDescent="0.35">
      <c r="A325">
        <v>324</v>
      </c>
      <c r="B325">
        <v>51324</v>
      </c>
      <c r="C325" t="s">
        <v>351</v>
      </c>
      <c r="D325" t="s">
        <v>18</v>
      </c>
      <c r="E325" s="36" t="s">
        <v>282</v>
      </c>
      <c r="F325" s="36" t="s">
        <v>346</v>
      </c>
      <c r="G325" s="40">
        <v>1</v>
      </c>
      <c r="H325" s="40" t="s">
        <v>279</v>
      </c>
      <c r="I325" t="str">
        <f>IF(H325="Track 5 Day 1",IFERROR(_xlfn.XLOOKUP("*"&amp;LEFT(C325,FIND(" ",C325&amp;" ")-1)&amp;"*",'[1]Track 5 Day 1'!$C$1:$C$99,'[1]Track 5 Day 1'!$A$1:$A$99,,2),IFERROR(_xlfn.XLOOKUP("*"&amp;LEFT(C325,FIND(" ",C325&amp;" ")-1)&amp;"*",'[1]Track 5 Day 1'!$G$1:$G$99,'[1]Track 5 Day 1'!$E$1:$E$99,,2),"")),"")</f>
        <v>9:31 - 9:36</v>
      </c>
      <c r="J325" s="36" t="s">
        <v>795</v>
      </c>
      <c r="K325" s="40">
        <v>5.2</v>
      </c>
    </row>
    <row r="326" spans="1:11" ht="14.25" customHeight="1" x14ac:dyDescent="0.35">
      <c r="A326">
        <v>325</v>
      </c>
      <c r="B326">
        <v>51325</v>
      </c>
      <c r="C326" t="s">
        <v>352</v>
      </c>
      <c r="D326" t="s">
        <v>22</v>
      </c>
      <c r="E326" s="36" t="s">
        <v>282</v>
      </c>
      <c r="F326" s="36" t="s">
        <v>346</v>
      </c>
      <c r="G326" s="40">
        <v>1</v>
      </c>
      <c r="H326" s="40" t="s">
        <v>279</v>
      </c>
      <c r="I326" t="str">
        <f>IF(H326="Track 5 Day 1",IFERROR(_xlfn.XLOOKUP("*"&amp;LEFT(C326,FIND(" ",C326&amp;" ")-1)&amp;"*",'[1]Track 5 Day 1'!$C$1:$C$99,'[1]Track 5 Day 1'!$A$1:$A$99,,2),IFERROR(_xlfn.XLOOKUP("*"&amp;LEFT(C326,FIND(" ",C326&amp;" ")-1)&amp;"*",'[1]Track 5 Day 1'!$G$1:$G$99,'[1]Track 5 Day 1'!$E$1:$E$99,,2),"")),"")</f>
        <v>9:37 - 9:42</v>
      </c>
      <c r="J326" s="36" t="s">
        <v>796</v>
      </c>
      <c r="K326" s="40">
        <v>5.2</v>
      </c>
    </row>
    <row r="327" spans="1:11" ht="14.25" customHeight="1" x14ac:dyDescent="0.35">
      <c r="A327">
        <v>326</v>
      </c>
      <c r="B327">
        <v>51326</v>
      </c>
      <c r="C327" t="s">
        <v>353</v>
      </c>
      <c r="D327" t="s">
        <v>16</v>
      </c>
      <c r="E327" s="36" t="s">
        <v>282</v>
      </c>
      <c r="F327" s="36" t="s">
        <v>346</v>
      </c>
      <c r="G327" s="40">
        <v>1</v>
      </c>
      <c r="H327" s="40" t="s">
        <v>279</v>
      </c>
      <c r="I327" t="str">
        <f>IF(H327="Track 5 Day 1",IFERROR(_xlfn.XLOOKUP("*"&amp;LEFT(C327,FIND(" ",C327&amp;" ")-1)&amp;"*",'[1]Track 5 Day 1'!$C$1:$C$99,'[1]Track 5 Day 1'!$A$1:$A$99,,2),IFERROR(_xlfn.XLOOKUP("*"&amp;LEFT(C327,FIND(" ",C327&amp;" ")-1)&amp;"*",'[1]Track 5 Day 1'!$G$1:$G$99,'[1]Track 5 Day 1'!$E$1:$E$99,,2),"")),"")</f>
        <v>9:43 - 9:48</v>
      </c>
      <c r="J327" s="36" t="s">
        <v>797</v>
      </c>
      <c r="K327" s="40">
        <v>5.2</v>
      </c>
    </row>
    <row r="328" spans="1:11" ht="14.25" customHeight="1" x14ac:dyDescent="0.35">
      <c r="A328">
        <v>327</v>
      </c>
      <c r="B328">
        <v>51327</v>
      </c>
      <c r="C328" t="s">
        <v>354</v>
      </c>
      <c r="D328" t="s">
        <v>16</v>
      </c>
      <c r="E328" s="36" t="s">
        <v>282</v>
      </c>
      <c r="F328" s="36" t="s">
        <v>346</v>
      </c>
      <c r="G328" s="40">
        <v>1</v>
      </c>
      <c r="H328" s="40" t="s">
        <v>279</v>
      </c>
      <c r="I328" t="str">
        <f>IF(H328="Track 5 Day 1",IFERROR(_xlfn.XLOOKUP("*"&amp;LEFT(C328,FIND(" ",C328&amp;" ")-1)&amp;"*",'[1]Track 5 Day 1'!$C$1:$C$99,'[1]Track 5 Day 1'!$A$1:$A$99,,2),IFERROR(_xlfn.XLOOKUP("*"&amp;LEFT(C328,FIND(" ",C328&amp;" ")-1)&amp;"*",'[1]Track 5 Day 1'!$G$1:$G$99,'[1]Track 5 Day 1'!$E$1:$E$99,,2),"")),"")</f>
        <v>9:49 - 9:54</v>
      </c>
      <c r="J328" s="36" t="s">
        <v>798</v>
      </c>
      <c r="K328" s="40">
        <v>5.2</v>
      </c>
    </row>
    <row r="329" spans="1:11" ht="14.25" customHeight="1" x14ac:dyDescent="0.35">
      <c r="A329">
        <v>328</v>
      </c>
      <c r="B329">
        <v>51328</v>
      </c>
      <c r="C329" t="s">
        <v>355</v>
      </c>
      <c r="D329" t="s">
        <v>16</v>
      </c>
      <c r="E329" s="36" t="s">
        <v>282</v>
      </c>
      <c r="F329" s="36" t="s">
        <v>346</v>
      </c>
      <c r="G329" s="40">
        <v>1</v>
      </c>
      <c r="H329" s="40" t="s">
        <v>279</v>
      </c>
      <c r="I329" t="str">
        <f>IF(H329="Track 5 Day 1",IFERROR(_xlfn.XLOOKUP("*"&amp;LEFT(C329,FIND(" ",C329&amp;" ")-1)&amp;"*",'[1]Track 5 Day 1'!$C$1:$C$99,'[1]Track 5 Day 1'!$A$1:$A$99,,2),IFERROR(_xlfn.XLOOKUP("*"&amp;LEFT(C329,FIND(" ",C329&amp;" ")-1)&amp;"*",'[1]Track 5 Day 1'!$G$1:$G$99,'[1]Track 5 Day 1'!$E$1:$E$99,,2),"")),"")</f>
        <v>9:55 -10:00</v>
      </c>
      <c r="J329" s="36" t="s">
        <v>799</v>
      </c>
      <c r="K329" s="40">
        <v>5.2</v>
      </c>
    </row>
    <row r="330" spans="1:11" ht="14.25" customHeight="1" x14ac:dyDescent="0.35">
      <c r="A330">
        <v>329</v>
      </c>
      <c r="B330">
        <v>51329</v>
      </c>
      <c r="C330" t="s">
        <v>356</v>
      </c>
      <c r="D330" t="s">
        <v>317</v>
      </c>
      <c r="E330" s="36" t="s">
        <v>277</v>
      </c>
      <c r="F330" s="36" t="s">
        <v>357</v>
      </c>
      <c r="G330" s="40">
        <v>1</v>
      </c>
      <c r="H330" s="40" t="s">
        <v>279</v>
      </c>
      <c r="I330" t="str">
        <f>IF(H330="Track 5 Day 1",IFERROR(_xlfn.XLOOKUP("*"&amp;LEFT(C330,FIND(" ",C330&amp;" ")-1)&amp;"*",'[1]Track 5 Day 1'!$C$1:$C$99,'[1]Track 5 Day 1'!$A$1:$A$99,,2),IFERROR(_xlfn.XLOOKUP("*"&amp;LEFT(C330,FIND(" ",C330&amp;" ")-1)&amp;"*",'[1]Track 5 Day 1'!$G$1:$G$99,'[1]Track 5 Day 1'!$E$1:$E$99,,2),"")),"")</f>
        <v/>
      </c>
      <c r="J330" s="36" t="s">
        <v>134</v>
      </c>
      <c r="K330" s="40">
        <v>5.2</v>
      </c>
    </row>
    <row r="331" spans="1:11" ht="14.25" customHeight="1" x14ac:dyDescent="0.35">
      <c r="A331">
        <v>330</v>
      </c>
      <c r="B331">
        <v>51330</v>
      </c>
      <c r="C331" t="s">
        <v>358</v>
      </c>
      <c r="D331" t="s">
        <v>16</v>
      </c>
      <c r="E331" s="36" t="s">
        <v>277</v>
      </c>
      <c r="F331" s="36" t="s">
        <v>357</v>
      </c>
      <c r="G331" s="40">
        <v>1</v>
      </c>
      <c r="H331" s="40" t="s">
        <v>279</v>
      </c>
      <c r="I331" t="str">
        <f>IF(H331="Track 5 Day 1",IFERROR(_xlfn.XLOOKUP("*"&amp;LEFT(C331,FIND(" ",C331&amp;" ")-1)&amp;"*",'[1]Track 5 Day 1'!$C$1:$C$99,'[1]Track 5 Day 1'!$A$1:$A$99,,2),IFERROR(_xlfn.XLOOKUP("*"&amp;LEFT(C331,FIND(" ",C331&amp;" ")-1)&amp;"*",'[1]Track 5 Day 1'!$G$1:$G$99,'[1]Track 5 Day 1'!$E$1:$E$99,,2),"")),"")</f>
        <v/>
      </c>
      <c r="J331" s="36" t="s">
        <v>134</v>
      </c>
      <c r="K331" s="40">
        <v>5.2</v>
      </c>
    </row>
    <row r="332" spans="1:11" ht="14.25" customHeight="1" x14ac:dyDescent="0.35">
      <c r="A332">
        <v>331</v>
      </c>
      <c r="B332">
        <v>51331</v>
      </c>
      <c r="C332" t="s">
        <v>359</v>
      </c>
      <c r="D332" t="s">
        <v>65</v>
      </c>
      <c r="E332" s="36" t="s">
        <v>282</v>
      </c>
      <c r="F332" s="36" t="s">
        <v>357</v>
      </c>
      <c r="G332" s="40">
        <v>1</v>
      </c>
      <c r="H332" s="40" t="s">
        <v>279</v>
      </c>
      <c r="I332" t="str">
        <f>IF(H332="Track 5 Day 1",IFERROR(_xlfn.XLOOKUP("*"&amp;LEFT(C332,FIND(" ",C332&amp;" ")-1)&amp;"*",'[1]Track 5 Day 1'!$C$1:$C$99,'[1]Track 5 Day 1'!$A$1:$A$99,,2),IFERROR(_xlfn.XLOOKUP("*"&amp;LEFT(C332,FIND(" ",C332&amp;" ")-1)&amp;"*",'[1]Track 5 Day 1'!$G$1:$G$99,'[1]Track 5 Day 1'!$E$1:$E$99,,2),"")),"")</f>
        <v>10:10 - 10:16</v>
      </c>
      <c r="J332" s="36" t="s">
        <v>800</v>
      </c>
      <c r="K332" s="40">
        <v>5.2</v>
      </c>
    </row>
    <row r="333" spans="1:11" ht="14.25" customHeight="1" x14ac:dyDescent="0.35">
      <c r="A333">
        <v>332</v>
      </c>
      <c r="B333">
        <v>51332</v>
      </c>
      <c r="C333" t="s">
        <v>337</v>
      </c>
      <c r="D333" t="s">
        <v>338</v>
      </c>
      <c r="E333" s="36" t="s">
        <v>282</v>
      </c>
      <c r="F333" s="36" t="s">
        <v>357</v>
      </c>
      <c r="G333" s="40">
        <v>1</v>
      </c>
      <c r="H333" s="40" t="s">
        <v>279</v>
      </c>
      <c r="I333" t="str">
        <f>IF(H333="Track 5 Day 1",IFERROR(_xlfn.XLOOKUP("*"&amp;LEFT(C333,FIND(" ",C333&amp;" ")-1)&amp;"*",'[1]Track 5 Day 1'!$C$1:$C$99,'[1]Track 5 Day 1'!$A$1:$A$99,,2),IFERROR(_xlfn.XLOOKUP("*"&amp;LEFT(C333,FIND(" ",C333&amp;" ")-1)&amp;"*",'[1]Track 5 Day 1'!$G$1:$G$99,'[1]Track 5 Day 1'!$E$1:$E$99,,2),"")),"")</f>
        <v>14:30 - 14:36</v>
      </c>
      <c r="J333" s="36" t="s">
        <v>781</v>
      </c>
      <c r="K333" s="40">
        <v>5.2</v>
      </c>
    </row>
    <row r="334" spans="1:11" ht="14.25" customHeight="1" x14ac:dyDescent="0.35">
      <c r="A334">
        <v>333</v>
      </c>
      <c r="B334">
        <v>51333</v>
      </c>
      <c r="C334" t="s">
        <v>360</v>
      </c>
      <c r="D334" t="s">
        <v>18</v>
      </c>
      <c r="E334" s="36" t="s">
        <v>282</v>
      </c>
      <c r="F334" s="36" t="s">
        <v>357</v>
      </c>
      <c r="G334" s="40">
        <v>1</v>
      </c>
      <c r="H334" s="40" t="s">
        <v>279</v>
      </c>
      <c r="I334" t="str">
        <f>IF(H334="Track 5 Day 1",IFERROR(_xlfn.XLOOKUP("*"&amp;LEFT(C334,FIND(" ",C334&amp;" ")-1)&amp;"*",'[1]Track 5 Day 1'!$C$1:$C$99,'[1]Track 5 Day 1'!$A$1:$A$99,,2),IFERROR(_xlfn.XLOOKUP("*"&amp;LEFT(C334,FIND(" ",C334&amp;" ")-1)&amp;"*",'[1]Track 5 Day 1'!$G$1:$G$99,'[1]Track 5 Day 1'!$E$1:$E$99,,2),"")),"")</f>
        <v>10:23 - 10:28</v>
      </c>
      <c r="J334" s="36" t="s">
        <v>801</v>
      </c>
      <c r="K334" s="40">
        <v>5.2</v>
      </c>
    </row>
    <row r="335" spans="1:11" ht="14.25" customHeight="1" x14ac:dyDescent="0.35">
      <c r="A335">
        <v>334</v>
      </c>
      <c r="B335">
        <v>51334</v>
      </c>
      <c r="C335" t="s">
        <v>361</v>
      </c>
      <c r="D335" t="s">
        <v>362</v>
      </c>
      <c r="E335" s="36" t="s">
        <v>282</v>
      </c>
      <c r="F335" s="36" t="s">
        <v>357</v>
      </c>
      <c r="G335" s="40">
        <v>1</v>
      </c>
      <c r="H335" s="40" t="s">
        <v>279</v>
      </c>
      <c r="I335" t="str">
        <f>IF(H335="Track 5 Day 1",IFERROR(_xlfn.XLOOKUP("*"&amp;LEFT(C335,FIND(" ",C335&amp;" ")-1)&amp;"*",'[1]Track 5 Day 1'!$C$1:$C$99,'[1]Track 5 Day 1'!$A$1:$A$99,,2),IFERROR(_xlfn.XLOOKUP("*"&amp;LEFT(C335,FIND(" ",C335&amp;" ")-1)&amp;"*",'[1]Track 5 Day 1'!$G$1:$G$99,'[1]Track 5 Day 1'!$E$1:$E$99,,2),"")),"")</f>
        <v>10:29 - 10:34</v>
      </c>
      <c r="J335" s="36" t="s">
        <v>802</v>
      </c>
      <c r="K335" s="40">
        <v>5.2</v>
      </c>
    </row>
    <row r="336" spans="1:11" ht="14.25" customHeight="1" x14ac:dyDescent="0.35">
      <c r="A336">
        <v>335</v>
      </c>
      <c r="B336">
        <v>51335</v>
      </c>
      <c r="C336" t="s">
        <v>363</v>
      </c>
      <c r="D336" t="s">
        <v>11</v>
      </c>
      <c r="E336" s="36" t="s">
        <v>282</v>
      </c>
      <c r="F336" s="36" t="s">
        <v>357</v>
      </c>
      <c r="G336" s="40">
        <v>1</v>
      </c>
      <c r="H336" s="40" t="s">
        <v>279</v>
      </c>
      <c r="I336" t="str">
        <f>IF(H336="Track 5 Day 1",IFERROR(_xlfn.XLOOKUP("*"&amp;LEFT(C336,FIND(" ",C336&amp;" ")-1)&amp;"*",'[1]Track 5 Day 1'!$C$1:$C$99,'[1]Track 5 Day 1'!$A$1:$A$99,,2),IFERROR(_xlfn.XLOOKUP("*"&amp;LEFT(C336,FIND(" ",C336&amp;" ")-1)&amp;"*",'[1]Track 5 Day 1'!$G$1:$G$99,'[1]Track 5 Day 1'!$E$1:$E$99,,2),"")),"")</f>
        <v>10:35 - 19:40</v>
      </c>
      <c r="J336" s="36" t="s">
        <v>803</v>
      </c>
      <c r="K336" s="40">
        <v>5.2</v>
      </c>
    </row>
    <row r="337" spans="1:11" ht="14.25" customHeight="1" x14ac:dyDescent="0.35">
      <c r="A337">
        <v>336</v>
      </c>
      <c r="B337">
        <v>51336</v>
      </c>
      <c r="C337" t="s">
        <v>364</v>
      </c>
      <c r="D337" t="s">
        <v>11</v>
      </c>
      <c r="E337" s="36" t="s">
        <v>282</v>
      </c>
      <c r="F337" s="36" t="s">
        <v>357</v>
      </c>
      <c r="G337" s="40">
        <v>1</v>
      </c>
      <c r="H337" s="40" t="s">
        <v>279</v>
      </c>
      <c r="I337" t="str">
        <f>IF(H337="Track 5 Day 1",IFERROR(_xlfn.XLOOKUP("*"&amp;LEFT(C337,FIND(" ",C337&amp;" ")-1)&amp;"*",'[1]Track 5 Day 1'!$C$1:$C$99,'[1]Track 5 Day 1'!$A$1:$A$99,,2),IFERROR(_xlfn.XLOOKUP("*"&amp;LEFT(C337,FIND(" ",C337&amp;" ")-1)&amp;"*",'[1]Track 5 Day 1'!$G$1:$G$99,'[1]Track 5 Day 1'!$E$1:$E$99,,2),"")),"")</f>
        <v>10:41 - 10:46</v>
      </c>
      <c r="J337" s="36" t="s">
        <v>804</v>
      </c>
      <c r="K337" s="40">
        <v>5.2</v>
      </c>
    </row>
    <row r="338" spans="1:11" ht="14.25" customHeight="1" x14ac:dyDescent="0.35">
      <c r="A338">
        <v>337</v>
      </c>
      <c r="B338">
        <v>51337</v>
      </c>
      <c r="C338" t="s">
        <v>365</v>
      </c>
      <c r="D338" t="s">
        <v>39</v>
      </c>
      <c r="E338" s="36" t="s">
        <v>282</v>
      </c>
      <c r="F338" s="36" t="s">
        <v>357</v>
      </c>
      <c r="G338" s="40">
        <v>1</v>
      </c>
      <c r="H338" s="40" t="s">
        <v>279</v>
      </c>
      <c r="I338" t="str">
        <f>IF(H338="Track 5 Day 1",IFERROR(_xlfn.XLOOKUP("*"&amp;LEFT(C338,FIND(" ",C338&amp;" ")-1)&amp;"*",'[1]Track 5 Day 1'!$C$1:$C$99,'[1]Track 5 Day 1'!$A$1:$A$99,,2),IFERROR(_xlfn.XLOOKUP("*"&amp;LEFT(C338,FIND(" ",C338&amp;" ")-1)&amp;"*",'[1]Track 5 Day 1'!$G$1:$G$99,'[1]Track 5 Day 1'!$E$1:$E$99,,2),"")),"")</f>
        <v>10:47 - 10:52</v>
      </c>
      <c r="J338" s="36" t="s">
        <v>805</v>
      </c>
      <c r="K338" s="40">
        <v>5.2</v>
      </c>
    </row>
    <row r="339" spans="1:11" ht="14.25" customHeight="1" x14ac:dyDescent="0.35">
      <c r="A339">
        <v>338</v>
      </c>
      <c r="B339">
        <v>51338</v>
      </c>
      <c r="C339" t="s">
        <v>309</v>
      </c>
      <c r="D339" t="s">
        <v>150</v>
      </c>
      <c r="E339" s="36" t="s">
        <v>282</v>
      </c>
      <c r="F339" s="36" t="s">
        <v>357</v>
      </c>
      <c r="G339" s="40">
        <v>1</v>
      </c>
      <c r="H339" s="40" t="s">
        <v>279</v>
      </c>
      <c r="I339" t="str">
        <f>IF(H339="Track 5 Day 1",IFERROR(_xlfn.XLOOKUP("*"&amp;LEFT(C339,FIND(" ",C339&amp;" ")-1)&amp;"*",'[1]Track 5 Day 1'!$C$1:$C$99,'[1]Track 5 Day 1'!$A$1:$A$99,,2),IFERROR(_xlfn.XLOOKUP("*"&amp;LEFT(C339,FIND(" ",C339&amp;" ")-1)&amp;"*",'[1]Track 5 Day 1'!$G$1:$G$99,'[1]Track 5 Day 1'!$E$1:$E$99,,2),"")),"")</f>
        <v>10:53 - 10:58</v>
      </c>
      <c r="J339" s="36" t="s">
        <v>758</v>
      </c>
      <c r="K339" s="40">
        <v>5.2</v>
      </c>
    </row>
    <row r="340" spans="1:11" ht="14.25" customHeight="1" x14ac:dyDescent="0.35">
      <c r="A340">
        <v>339</v>
      </c>
      <c r="B340">
        <v>51339</v>
      </c>
      <c r="C340" t="s">
        <v>366</v>
      </c>
      <c r="D340" t="s">
        <v>247</v>
      </c>
      <c r="E340" s="36" t="s">
        <v>282</v>
      </c>
      <c r="F340" s="36" t="s">
        <v>357</v>
      </c>
      <c r="G340" s="40">
        <v>1</v>
      </c>
      <c r="H340" s="40" t="s">
        <v>279</v>
      </c>
      <c r="I340" t="str">
        <f>IF(H340="Track 5 Day 1",IFERROR(_xlfn.XLOOKUP("*"&amp;LEFT(C340,FIND(" ",C340&amp;" ")-1)&amp;"*",'[1]Track 5 Day 1'!$C$1:$C$99,'[1]Track 5 Day 1'!$A$1:$A$99,,2),IFERROR(_xlfn.XLOOKUP("*"&amp;LEFT(C340,FIND(" ",C340&amp;" ")-1)&amp;"*",'[1]Track 5 Day 1'!$G$1:$G$99,'[1]Track 5 Day 1'!$E$1:$E$99,,2),"")),"")</f>
        <v>10:59 - 11:04</v>
      </c>
      <c r="J340" s="36" t="s">
        <v>806</v>
      </c>
      <c r="K340" s="40">
        <v>5.2</v>
      </c>
    </row>
    <row r="341" spans="1:11" ht="14.25" customHeight="1" x14ac:dyDescent="0.35">
      <c r="A341">
        <v>340</v>
      </c>
      <c r="B341">
        <v>51340</v>
      </c>
      <c r="C341" t="s">
        <v>367</v>
      </c>
      <c r="D341" t="s">
        <v>18</v>
      </c>
      <c r="E341" s="36" t="s">
        <v>282</v>
      </c>
      <c r="F341" s="36" t="s">
        <v>357</v>
      </c>
      <c r="G341" s="40">
        <v>1</v>
      </c>
      <c r="H341" s="40" t="s">
        <v>279</v>
      </c>
      <c r="I341" t="str">
        <f>IF(H341="Track 5 Day 1",IFERROR(_xlfn.XLOOKUP("*"&amp;LEFT(C341,FIND(" ",C341&amp;" ")-1)&amp;"*",'[1]Track 5 Day 1'!$C$1:$C$99,'[1]Track 5 Day 1'!$A$1:$A$99,,2),IFERROR(_xlfn.XLOOKUP("*"&amp;LEFT(C341,FIND(" ",C341&amp;" ")-1)&amp;"*",'[1]Track 5 Day 1'!$G$1:$G$99,'[1]Track 5 Day 1'!$E$1:$E$99,,2),"")),"")</f>
        <v>11:33 - 11:38</v>
      </c>
      <c r="J341" s="36" t="s">
        <v>763</v>
      </c>
      <c r="K341" s="40">
        <v>5.2</v>
      </c>
    </row>
    <row r="342" spans="1:11" ht="14.25" customHeight="1" x14ac:dyDescent="0.35">
      <c r="A342">
        <v>341</v>
      </c>
      <c r="B342">
        <v>51341</v>
      </c>
      <c r="C342" t="s">
        <v>368</v>
      </c>
      <c r="D342" t="s">
        <v>22</v>
      </c>
      <c r="E342" s="36" t="s">
        <v>277</v>
      </c>
      <c r="F342" s="36" t="s">
        <v>369</v>
      </c>
      <c r="G342" s="40">
        <v>1</v>
      </c>
      <c r="H342" s="40" t="s">
        <v>279</v>
      </c>
      <c r="I342" t="str">
        <f>IF(H342="Track 5 Day 1",IFERROR(_xlfn.XLOOKUP("*"&amp;LEFT(C342,FIND(" ",C342&amp;" ")-1)&amp;"*",'[1]Track 5 Day 1'!$C$1:$C$99,'[1]Track 5 Day 1'!$A$1:$A$99,,2),IFERROR(_xlfn.XLOOKUP("*"&amp;LEFT(C342,FIND(" ",C342&amp;" ")-1)&amp;"*",'[1]Track 5 Day 1'!$G$1:$G$99,'[1]Track 5 Day 1'!$E$1:$E$99,,2),"")),"")</f>
        <v/>
      </c>
      <c r="J342" s="34" t="s">
        <v>134</v>
      </c>
      <c r="K342" s="40">
        <v>5.2</v>
      </c>
    </row>
    <row r="343" spans="1:11" ht="14.25" customHeight="1" x14ac:dyDescent="0.35">
      <c r="A343">
        <v>342</v>
      </c>
      <c r="B343">
        <v>51342</v>
      </c>
      <c r="C343" t="s">
        <v>85</v>
      </c>
      <c r="D343" t="s">
        <v>24</v>
      </c>
      <c r="E343" s="36" t="s">
        <v>277</v>
      </c>
      <c r="F343" s="36" t="s">
        <v>369</v>
      </c>
      <c r="G343" s="40">
        <v>1</v>
      </c>
      <c r="H343" s="40" t="s">
        <v>279</v>
      </c>
      <c r="I343" t="str">
        <f>IF(H343="Track 5 Day 1",IFERROR(_xlfn.XLOOKUP("*"&amp;LEFT(C343,FIND(" ",C343&amp;" ")-1)&amp;"*",'[1]Track 5 Day 1'!$C$1:$C$99,'[1]Track 5 Day 1'!$A$1:$A$99,,2),IFERROR(_xlfn.XLOOKUP("*"&amp;LEFT(C343,FIND(" ",C343&amp;" ")-1)&amp;"*",'[1]Track 5 Day 1'!$G$1:$G$99,'[1]Track 5 Day 1'!$E$1:$E$99,,2),"")),"")</f>
        <v/>
      </c>
      <c r="J343" t="s">
        <v>134</v>
      </c>
      <c r="K343" s="40">
        <v>5.2</v>
      </c>
    </row>
    <row r="344" spans="1:11" ht="14.25" customHeight="1" x14ac:dyDescent="0.35">
      <c r="A344">
        <v>343</v>
      </c>
      <c r="B344">
        <v>51343</v>
      </c>
      <c r="C344" t="s">
        <v>370</v>
      </c>
      <c r="D344" t="s">
        <v>16</v>
      </c>
      <c r="E344" s="36" t="s">
        <v>282</v>
      </c>
      <c r="F344" s="36" t="s">
        <v>369</v>
      </c>
      <c r="G344" s="40">
        <v>1</v>
      </c>
      <c r="H344" s="40" t="s">
        <v>279</v>
      </c>
      <c r="I344" t="str">
        <f>IF(H344="Track 5 Day 1",IFERROR(_xlfn.XLOOKUP("*"&amp;LEFT(C344,FIND(" ",C344&amp;" ")-1)&amp;"*",'[1]Track 5 Day 1'!$C$1:$C$99,'[1]Track 5 Day 1'!$A$1:$A$99,,2),IFERROR(_xlfn.XLOOKUP("*"&amp;LEFT(C344,FIND(" ",C344&amp;" ")-1)&amp;"*",'[1]Track 5 Day 1'!$G$1:$G$99,'[1]Track 5 Day 1'!$E$1:$E$99,,2),"")),"")</f>
        <v>11:20 - 11:26</v>
      </c>
      <c r="J344" s="36" t="s">
        <v>807</v>
      </c>
      <c r="K344" s="40">
        <v>5.2</v>
      </c>
    </row>
    <row r="345" spans="1:11" ht="14.25" customHeight="1" x14ac:dyDescent="0.35">
      <c r="A345">
        <v>344</v>
      </c>
      <c r="B345">
        <v>51344</v>
      </c>
      <c r="C345" t="s">
        <v>371</v>
      </c>
      <c r="D345" t="s">
        <v>16</v>
      </c>
      <c r="E345" s="36" t="s">
        <v>282</v>
      </c>
      <c r="F345" s="36" t="s">
        <v>369</v>
      </c>
      <c r="G345" s="40">
        <v>1</v>
      </c>
      <c r="H345" s="40" t="s">
        <v>279</v>
      </c>
      <c r="I345" t="str">
        <f>IF(H345="Track 5 Day 1",IFERROR(_xlfn.XLOOKUP("*"&amp;LEFT(C345,FIND(" ",C345&amp;" ")-1)&amp;"*",'[1]Track 5 Day 1'!$C$1:$C$99,'[1]Track 5 Day 1'!$A$1:$A$99,,2),IFERROR(_xlfn.XLOOKUP("*"&amp;LEFT(C345,FIND(" ",C345&amp;" ")-1)&amp;"*",'[1]Track 5 Day 1'!$G$1:$G$99,'[1]Track 5 Day 1'!$E$1:$E$99,,2),"")),"")</f>
        <v>11:27 - 11:32</v>
      </c>
      <c r="J345" s="36" t="s">
        <v>808</v>
      </c>
      <c r="K345" s="40">
        <v>5.2</v>
      </c>
    </row>
    <row r="346" spans="1:11" ht="14.25" customHeight="1" x14ac:dyDescent="0.35">
      <c r="A346">
        <v>345</v>
      </c>
      <c r="B346">
        <v>51345</v>
      </c>
      <c r="C346" t="s">
        <v>372</v>
      </c>
      <c r="D346" t="s">
        <v>39</v>
      </c>
      <c r="E346" s="36" t="s">
        <v>282</v>
      </c>
      <c r="F346" s="36" t="s">
        <v>369</v>
      </c>
      <c r="G346" s="40">
        <v>1</v>
      </c>
      <c r="H346" s="40" t="s">
        <v>279</v>
      </c>
      <c r="I346" t="str">
        <f>IF(H346="Track 5 Day 1",IFERROR(_xlfn.XLOOKUP("*"&amp;LEFT(C346,FIND(" ",C346&amp;" ")-1)&amp;"*",'[1]Track 5 Day 1'!$C$1:$C$99,'[1]Track 5 Day 1'!$A$1:$A$99,,2),IFERROR(_xlfn.XLOOKUP("*"&amp;LEFT(C346,FIND(" ",C346&amp;" ")-1)&amp;"*",'[1]Track 5 Day 1'!$G$1:$G$99,'[1]Track 5 Day 1'!$E$1:$E$99,,2),"")),"")</f>
        <v>11:33 - 11:38</v>
      </c>
      <c r="J346" s="36" t="s">
        <v>809</v>
      </c>
      <c r="K346" s="40">
        <v>5.2</v>
      </c>
    </row>
    <row r="347" spans="1:11" ht="14.25" customHeight="1" x14ac:dyDescent="0.35">
      <c r="A347">
        <v>346</v>
      </c>
      <c r="B347">
        <v>51346</v>
      </c>
      <c r="C347" t="s">
        <v>373</v>
      </c>
      <c r="D347" t="s">
        <v>188</v>
      </c>
      <c r="E347" s="36" t="s">
        <v>282</v>
      </c>
      <c r="F347" s="36" t="s">
        <v>369</v>
      </c>
      <c r="G347" s="40">
        <v>1</v>
      </c>
      <c r="H347" s="40" t="s">
        <v>279</v>
      </c>
      <c r="I347" t="str">
        <f>IF(H347="Track 5 Day 1",IFERROR(_xlfn.XLOOKUP("*"&amp;LEFT(C347,FIND(" ",C347&amp;" ")-1)&amp;"*",'[1]Track 5 Day 1'!$C$1:$C$99,'[1]Track 5 Day 1'!$A$1:$A$99,,2),IFERROR(_xlfn.XLOOKUP("*"&amp;LEFT(C347,FIND(" ",C347&amp;" ")-1)&amp;"*",'[1]Track 5 Day 1'!$G$1:$G$99,'[1]Track 5 Day 1'!$E$1:$E$99,,2),"")),"")</f>
        <v>11:39 - 11:44</v>
      </c>
      <c r="J347" s="36" t="s">
        <v>810</v>
      </c>
      <c r="K347" s="40">
        <v>5.2</v>
      </c>
    </row>
    <row r="348" spans="1:11" ht="14.25" customHeight="1" x14ac:dyDescent="0.35">
      <c r="A348">
        <v>347</v>
      </c>
      <c r="B348">
        <v>51347</v>
      </c>
      <c r="C348" t="s">
        <v>374</v>
      </c>
      <c r="D348" t="s">
        <v>70</v>
      </c>
      <c r="E348" s="36" t="s">
        <v>282</v>
      </c>
      <c r="F348" s="36" t="s">
        <v>369</v>
      </c>
      <c r="G348" s="40">
        <v>1</v>
      </c>
      <c r="H348" s="40" t="s">
        <v>279</v>
      </c>
      <c r="I348" t="str">
        <f>IF(H348="Track 5 Day 1",IFERROR(_xlfn.XLOOKUP("*"&amp;LEFT(C348,FIND(" ",C348&amp;" ")-1)&amp;"*",'[1]Track 5 Day 1'!$C$1:$C$99,'[1]Track 5 Day 1'!$A$1:$A$99,,2),IFERROR(_xlfn.XLOOKUP("*"&amp;LEFT(C348,FIND(" ",C348&amp;" ")-1)&amp;"*",'[1]Track 5 Day 1'!$G$1:$G$99,'[1]Track 5 Day 1'!$E$1:$E$99,,2),"")),"")</f>
        <v>11:45 - 11:50</v>
      </c>
      <c r="J348" s="36" t="s">
        <v>811</v>
      </c>
      <c r="K348" s="40">
        <v>5.2</v>
      </c>
    </row>
    <row r="349" spans="1:11" ht="14.25" customHeight="1" x14ac:dyDescent="0.35">
      <c r="A349">
        <v>348</v>
      </c>
      <c r="B349">
        <v>51348</v>
      </c>
      <c r="C349" t="s">
        <v>375</v>
      </c>
      <c r="D349" t="s">
        <v>376</v>
      </c>
      <c r="E349" s="36" t="s">
        <v>282</v>
      </c>
      <c r="F349" s="36" t="s">
        <v>369</v>
      </c>
      <c r="G349" s="40">
        <v>1</v>
      </c>
      <c r="H349" s="40" t="s">
        <v>279</v>
      </c>
      <c r="I349" t="str">
        <f>IF(H349="Track 5 Day 1",IFERROR(_xlfn.XLOOKUP("*"&amp;LEFT(C349,FIND(" ",C349&amp;" ")-1)&amp;"*",'[1]Track 5 Day 1'!$C$1:$C$99,'[1]Track 5 Day 1'!$A$1:$A$99,,2),IFERROR(_xlfn.XLOOKUP("*"&amp;LEFT(C349,FIND(" ",C349&amp;" ")-1)&amp;"*",'[1]Track 5 Day 1'!$G$1:$G$99,'[1]Track 5 Day 1'!$E$1:$E$99,,2),"")),"")</f>
        <v>11:51 - 11:56</v>
      </c>
      <c r="J349" s="36" t="s">
        <v>812</v>
      </c>
      <c r="K349" s="40">
        <v>5.2</v>
      </c>
    </row>
    <row r="350" spans="1:11" ht="14.25" customHeight="1" x14ac:dyDescent="0.35">
      <c r="A350">
        <v>349</v>
      </c>
      <c r="B350">
        <v>51349</v>
      </c>
      <c r="C350" t="s">
        <v>377</v>
      </c>
      <c r="D350" t="s">
        <v>39</v>
      </c>
      <c r="E350" s="36" t="s">
        <v>282</v>
      </c>
      <c r="F350" s="36" t="s">
        <v>369</v>
      </c>
      <c r="G350" s="40">
        <v>1</v>
      </c>
      <c r="H350" s="40" t="s">
        <v>279</v>
      </c>
      <c r="I350" t="str">
        <f>IF(H350="Track 5 Day 1",IFERROR(_xlfn.XLOOKUP("*"&amp;LEFT(C350,FIND(" ",C350&amp;" ")-1)&amp;"*",'[1]Track 5 Day 1'!$C$1:$C$99,'[1]Track 5 Day 1'!$A$1:$A$99,,2),IFERROR(_xlfn.XLOOKUP("*"&amp;LEFT(C350,FIND(" ",C350&amp;" ")-1)&amp;"*",'[1]Track 5 Day 1'!$G$1:$G$99,'[1]Track 5 Day 1'!$E$1:$E$99,,2),"")),"")</f>
        <v>9:25 - 9:30</v>
      </c>
      <c r="J350" s="36" t="s">
        <v>794</v>
      </c>
      <c r="K350" s="40">
        <v>5.2</v>
      </c>
    </row>
    <row r="351" spans="1:11" ht="14.25" customHeight="1" x14ac:dyDescent="0.35">
      <c r="A351">
        <v>350</v>
      </c>
      <c r="B351">
        <v>51350</v>
      </c>
      <c r="C351" t="s">
        <v>373</v>
      </c>
      <c r="D351" t="s">
        <v>188</v>
      </c>
      <c r="E351" s="36" t="s">
        <v>282</v>
      </c>
      <c r="F351" s="36" t="s">
        <v>369</v>
      </c>
      <c r="G351" s="40">
        <v>1</v>
      </c>
      <c r="H351" s="40" t="s">
        <v>279</v>
      </c>
      <c r="I351" t="str">
        <f>IF(H351="Track 5 Day 1",IFERROR(_xlfn.XLOOKUP("*"&amp;LEFT(C351,FIND(" ",C351&amp;" ")-1)&amp;"*",'[1]Track 5 Day 1'!$C$1:$C$99,'[1]Track 5 Day 1'!$A$1:$A$99,,2),IFERROR(_xlfn.XLOOKUP("*"&amp;LEFT(C351,FIND(" ",C351&amp;" ")-1)&amp;"*",'[1]Track 5 Day 1'!$G$1:$G$99,'[1]Track 5 Day 1'!$E$1:$E$99,,2),"")),"")</f>
        <v>11:39 - 11:44</v>
      </c>
      <c r="J351" s="36" t="s">
        <v>810</v>
      </c>
      <c r="K351" s="40">
        <v>5.2</v>
      </c>
    </row>
    <row r="352" spans="1:11" ht="14.25" customHeight="1" x14ac:dyDescent="0.35">
      <c r="A352">
        <v>351</v>
      </c>
      <c r="B352">
        <v>51351</v>
      </c>
      <c r="C352" t="s">
        <v>378</v>
      </c>
      <c r="D352" t="s">
        <v>16</v>
      </c>
      <c r="E352" s="36" t="s">
        <v>282</v>
      </c>
      <c r="F352" s="36" t="s">
        <v>369</v>
      </c>
      <c r="G352" s="40">
        <v>1</v>
      </c>
      <c r="H352" s="40" t="s">
        <v>279</v>
      </c>
      <c r="I352" t="str">
        <f>IF(H352="Track 5 Day 1",IFERROR(_xlfn.XLOOKUP("*"&amp;LEFT(C352,FIND(" ",C352&amp;" ")-1)&amp;"*",'[1]Track 5 Day 1'!$C$1:$C$99,'[1]Track 5 Day 1'!$A$1:$A$99,,2),IFERROR(_xlfn.XLOOKUP("*"&amp;LEFT(C352,FIND(" ",C352&amp;" ")-1)&amp;"*",'[1]Track 5 Day 1'!$G$1:$G$99,'[1]Track 5 Day 1'!$E$1:$E$99,,2),"")),"")</f>
        <v>12:09 - 12:14</v>
      </c>
      <c r="J352" s="36" t="s">
        <v>813</v>
      </c>
      <c r="K352" s="40">
        <v>5.2</v>
      </c>
    </row>
    <row r="353" spans="1:11" ht="14.25" customHeight="1" x14ac:dyDescent="0.35">
      <c r="A353">
        <v>352</v>
      </c>
      <c r="B353">
        <v>51352</v>
      </c>
      <c r="C353" t="s">
        <v>379</v>
      </c>
      <c r="D353" t="s">
        <v>16</v>
      </c>
      <c r="E353" s="36" t="s">
        <v>282</v>
      </c>
      <c r="F353" s="36" t="s">
        <v>369</v>
      </c>
      <c r="G353" s="40">
        <v>1</v>
      </c>
      <c r="H353" s="40" t="s">
        <v>279</v>
      </c>
      <c r="I353" t="str">
        <f>IF(H353="Track 5 Day 1",IFERROR(_xlfn.XLOOKUP("*"&amp;LEFT(C353,FIND(" ",C353&amp;" ")-1)&amp;"*",'[1]Track 5 Day 1'!$C$1:$C$99,'[1]Track 5 Day 1'!$A$1:$A$99,,2),IFERROR(_xlfn.XLOOKUP("*"&amp;LEFT(C353,FIND(" ",C353&amp;" ")-1)&amp;"*",'[1]Track 5 Day 1'!$G$1:$G$99,'[1]Track 5 Day 1'!$E$1:$E$99,,2),"")),"")</f>
        <v>12:15 : 12:20</v>
      </c>
      <c r="J353" s="36" t="s">
        <v>814</v>
      </c>
      <c r="K353" s="40">
        <v>5.2</v>
      </c>
    </row>
    <row r="354" spans="1:11" ht="14.25" customHeight="1" x14ac:dyDescent="0.35">
      <c r="A354">
        <v>353</v>
      </c>
      <c r="B354">
        <v>51353</v>
      </c>
      <c r="C354" t="s">
        <v>368</v>
      </c>
      <c r="D354" t="s">
        <v>22</v>
      </c>
      <c r="E354" s="36" t="s">
        <v>277</v>
      </c>
      <c r="F354" s="36" t="s">
        <v>380</v>
      </c>
      <c r="G354" s="40">
        <v>1</v>
      </c>
      <c r="H354" s="40" t="s">
        <v>279</v>
      </c>
      <c r="I354" t="str">
        <f>IF(H354="Track 5 Day 1",IFERROR(_xlfn.XLOOKUP("*"&amp;LEFT(C354,FIND(" ",C354&amp;" ")-1)&amp;"*",'[1]Track 5 Day 1'!$C$1:$C$99,'[1]Track 5 Day 1'!$A$1:$A$99,,2),IFERROR(_xlfn.XLOOKUP("*"&amp;LEFT(C354,FIND(" ",C354&amp;" ")-1)&amp;"*",'[1]Track 5 Day 1'!$G$1:$G$99,'[1]Track 5 Day 1'!$E$1:$E$99,,2),"")),"")</f>
        <v/>
      </c>
      <c r="J354" s="34" t="s">
        <v>134</v>
      </c>
      <c r="K354" s="40">
        <v>5.2</v>
      </c>
    </row>
    <row r="355" spans="1:11" ht="14.25" customHeight="1" x14ac:dyDescent="0.35">
      <c r="A355">
        <v>354</v>
      </c>
      <c r="B355">
        <v>51354</v>
      </c>
      <c r="C355" t="s">
        <v>30</v>
      </c>
      <c r="D355" t="s">
        <v>31</v>
      </c>
      <c r="E355" s="36" t="s">
        <v>277</v>
      </c>
      <c r="F355" s="36" t="s">
        <v>380</v>
      </c>
      <c r="G355" s="40">
        <v>1</v>
      </c>
      <c r="H355" s="40" t="s">
        <v>279</v>
      </c>
      <c r="I355" t="str">
        <f>IF(H355="Track 5 Day 1",IFERROR(_xlfn.XLOOKUP("*"&amp;LEFT(C355,FIND(" ",C355&amp;" ")-1)&amp;"*",'[1]Track 5 Day 1'!$C$1:$C$99,'[1]Track 5 Day 1'!$A$1:$A$99,,2),IFERROR(_xlfn.XLOOKUP("*"&amp;LEFT(C355,FIND(" ",C355&amp;" ")-1)&amp;"*",'[1]Track 5 Day 1'!$G$1:$G$99,'[1]Track 5 Day 1'!$E$1:$E$99,,2),"")),"")</f>
        <v/>
      </c>
      <c r="J355" t="s">
        <v>134</v>
      </c>
      <c r="K355" s="40">
        <v>5.2</v>
      </c>
    </row>
    <row r="356" spans="1:11" ht="14.25" customHeight="1" x14ac:dyDescent="0.35">
      <c r="A356">
        <v>355</v>
      </c>
      <c r="B356">
        <v>51355</v>
      </c>
      <c r="C356" t="s">
        <v>381</v>
      </c>
      <c r="D356" t="s">
        <v>51</v>
      </c>
      <c r="E356" s="36" t="s">
        <v>282</v>
      </c>
      <c r="F356" s="36" t="s">
        <v>380</v>
      </c>
      <c r="G356" s="40">
        <v>1</v>
      </c>
      <c r="H356" s="40" t="s">
        <v>279</v>
      </c>
      <c r="I356" t="str">
        <f>IF(H356="Track 5 Day 1",IFERROR(_xlfn.XLOOKUP("*"&amp;LEFT(C356,FIND(" ",C356&amp;" ")-1)&amp;"*",'[1]Track 5 Day 1'!$C$1:$C$99,'[1]Track 5 Day 1'!$A$1:$A$99,,2),IFERROR(_xlfn.XLOOKUP("*"&amp;LEFT(C356,FIND(" ",C356&amp;" ")-1)&amp;"*",'[1]Track 5 Day 1'!$G$1:$G$99,'[1]Track 5 Day 1'!$E$1:$E$99,,2),"")),"")</f>
        <v>12:30 - 12:36</v>
      </c>
      <c r="J356" s="36" t="s">
        <v>815</v>
      </c>
      <c r="K356" s="40">
        <v>5.2</v>
      </c>
    </row>
    <row r="357" spans="1:11" ht="14.25" customHeight="1" x14ac:dyDescent="0.35">
      <c r="A357">
        <v>356</v>
      </c>
      <c r="B357">
        <v>51356</v>
      </c>
      <c r="C357" t="s">
        <v>382</v>
      </c>
      <c r="D357" t="s">
        <v>39</v>
      </c>
      <c r="E357" s="36" t="s">
        <v>282</v>
      </c>
      <c r="F357" s="36" t="s">
        <v>380</v>
      </c>
      <c r="G357" s="40">
        <v>1</v>
      </c>
      <c r="H357" s="40" t="s">
        <v>279</v>
      </c>
      <c r="I357" t="str">
        <f>IF(H357="Track 5 Day 1",IFERROR(_xlfn.XLOOKUP("*"&amp;LEFT(C357,FIND(" ",C357&amp;" ")-1)&amp;"*",'[1]Track 5 Day 1'!$C$1:$C$99,'[1]Track 5 Day 1'!$A$1:$A$99,,2),IFERROR(_xlfn.XLOOKUP("*"&amp;LEFT(C357,FIND(" ",C357&amp;" ")-1)&amp;"*",'[1]Track 5 Day 1'!$G$1:$G$99,'[1]Track 5 Day 1'!$E$1:$E$99,,2),"")),"")</f>
        <v>12:37 - 12:42</v>
      </c>
      <c r="J357" s="36" t="s">
        <v>816</v>
      </c>
      <c r="K357" s="40">
        <v>5.2</v>
      </c>
    </row>
    <row r="358" spans="1:11" ht="14.25" customHeight="1" x14ac:dyDescent="0.35">
      <c r="A358">
        <v>357</v>
      </c>
      <c r="B358">
        <v>51357</v>
      </c>
      <c r="C358" t="s">
        <v>329</v>
      </c>
      <c r="D358" t="s">
        <v>39</v>
      </c>
      <c r="E358" s="36" t="s">
        <v>282</v>
      </c>
      <c r="F358" s="36" t="s">
        <v>380</v>
      </c>
      <c r="G358" s="40">
        <v>1</v>
      </c>
      <c r="H358" s="40" t="s">
        <v>279</v>
      </c>
      <c r="I358" t="str">
        <f>IF(H358="Track 5 Day 1",IFERROR(_xlfn.XLOOKUP("*"&amp;LEFT(C358,FIND(" ",C358&amp;" ")-1)&amp;"*",'[1]Track 5 Day 1'!$C$1:$C$99,'[1]Track 5 Day 1'!$A$1:$A$99,,2),IFERROR(_xlfn.XLOOKUP("*"&amp;LEFT(C358,FIND(" ",C358&amp;" ")-1)&amp;"*",'[1]Track 5 Day 1'!$G$1:$G$99,'[1]Track 5 Day 1'!$E$1:$E$99,,2),"")),"")</f>
        <v>12:49 - 12:54</v>
      </c>
      <c r="J358" s="36" t="s">
        <v>774</v>
      </c>
      <c r="K358" s="40">
        <v>5.2</v>
      </c>
    </row>
    <row r="359" spans="1:11" ht="14.25" customHeight="1" x14ac:dyDescent="0.35">
      <c r="A359">
        <v>358</v>
      </c>
      <c r="B359">
        <v>51358</v>
      </c>
      <c r="C359" t="s">
        <v>383</v>
      </c>
      <c r="D359" t="s">
        <v>191</v>
      </c>
      <c r="E359" s="36" t="s">
        <v>282</v>
      </c>
      <c r="F359" s="36" t="s">
        <v>380</v>
      </c>
      <c r="G359" s="40">
        <v>1</v>
      </c>
      <c r="H359" s="40" t="s">
        <v>279</v>
      </c>
      <c r="I359" t="str">
        <f>IF(H359="Track 5 Day 1",IFERROR(_xlfn.XLOOKUP("*"&amp;LEFT(C359,FIND(" ",C359&amp;" ")-1)&amp;"*",'[1]Track 5 Day 1'!$C$1:$C$99,'[1]Track 5 Day 1'!$A$1:$A$99,,2),IFERROR(_xlfn.XLOOKUP("*"&amp;LEFT(C359,FIND(" ",C359&amp;" ")-1)&amp;"*",'[1]Track 5 Day 1'!$G$1:$G$99,'[1]Track 5 Day 1'!$E$1:$E$99,,2),"")),"")</f>
        <v>13:07 - 13:12</v>
      </c>
      <c r="J359" s="36" t="s">
        <v>777</v>
      </c>
      <c r="K359" s="40">
        <v>5.2</v>
      </c>
    </row>
    <row r="360" spans="1:11" ht="14.25" customHeight="1" x14ac:dyDescent="0.35">
      <c r="A360">
        <v>359</v>
      </c>
      <c r="B360">
        <v>51359</v>
      </c>
      <c r="C360" t="s">
        <v>384</v>
      </c>
      <c r="D360" t="s">
        <v>11</v>
      </c>
      <c r="E360" s="36" t="s">
        <v>282</v>
      </c>
      <c r="F360" s="36" t="s">
        <v>380</v>
      </c>
      <c r="G360" s="40">
        <v>1</v>
      </c>
      <c r="H360" s="40" t="s">
        <v>279</v>
      </c>
      <c r="I360" t="str">
        <f>IF(H360="Track 5 Day 1",IFERROR(_xlfn.XLOOKUP("*"&amp;LEFT(C360,FIND(" ",C360&amp;" ")-1)&amp;"*",'[1]Track 5 Day 1'!$C$1:$C$99,'[1]Track 5 Day 1'!$A$1:$A$99,,2),IFERROR(_xlfn.XLOOKUP("*"&amp;LEFT(C360,FIND(" ",C360&amp;" ")-1)&amp;"*",'[1]Track 5 Day 1'!$G$1:$G$99,'[1]Track 5 Day 1'!$E$1:$E$99,,2),"")),"")</f>
        <v>12:55 - 13:00</v>
      </c>
      <c r="J360" s="36" t="s">
        <v>817</v>
      </c>
      <c r="K360" s="40">
        <v>5.2</v>
      </c>
    </row>
    <row r="361" spans="1:11" ht="14.25" customHeight="1" x14ac:dyDescent="0.35">
      <c r="A361">
        <v>360</v>
      </c>
      <c r="B361">
        <v>51360</v>
      </c>
      <c r="C361" t="s">
        <v>385</v>
      </c>
      <c r="D361" t="s">
        <v>16</v>
      </c>
      <c r="E361" s="36" t="s">
        <v>282</v>
      </c>
      <c r="F361" s="36" t="s">
        <v>380</v>
      </c>
      <c r="G361" s="40">
        <v>1</v>
      </c>
      <c r="H361" s="40" t="s">
        <v>279</v>
      </c>
      <c r="I361" t="str">
        <f>IF(H361="Track 5 Day 1",IFERROR(_xlfn.XLOOKUP("*"&amp;LEFT(C361,FIND(" ",C361&amp;" ")-1)&amp;"*",'[1]Track 5 Day 1'!$C$1:$C$99,'[1]Track 5 Day 1'!$A$1:$A$99,,2),IFERROR(_xlfn.XLOOKUP("*"&amp;LEFT(C361,FIND(" ",C361&amp;" ")-1)&amp;"*",'[1]Track 5 Day 1'!$G$1:$G$99,'[1]Track 5 Day 1'!$E$1:$E$99,,2),"")),"")</f>
        <v>13:01 - 13:06</v>
      </c>
      <c r="J361" s="36" t="s">
        <v>818</v>
      </c>
      <c r="K361" s="40">
        <v>5.2</v>
      </c>
    </row>
    <row r="362" spans="1:11" ht="14.25" customHeight="1" x14ac:dyDescent="0.35">
      <c r="A362">
        <v>361</v>
      </c>
      <c r="B362">
        <v>51361</v>
      </c>
      <c r="C362" t="s">
        <v>386</v>
      </c>
      <c r="D362" t="s">
        <v>16</v>
      </c>
      <c r="E362" s="36" t="s">
        <v>282</v>
      </c>
      <c r="F362" s="36" t="s">
        <v>380</v>
      </c>
      <c r="G362" s="40">
        <v>1</v>
      </c>
      <c r="H362" s="40" t="s">
        <v>279</v>
      </c>
      <c r="I362" t="str">
        <f>IF(H362="Track 5 Day 1",IFERROR(_xlfn.XLOOKUP("*"&amp;LEFT(C362,FIND(" ",C362&amp;" ")-1)&amp;"*",'[1]Track 5 Day 1'!$C$1:$C$99,'[1]Track 5 Day 1'!$A$1:$A$99,,2),IFERROR(_xlfn.XLOOKUP("*"&amp;LEFT(C362,FIND(" ",C362&amp;" ")-1)&amp;"*",'[1]Track 5 Day 1'!$G$1:$G$99,'[1]Track 5 Day 1'!$E$1:$E$99,,2),"")),"")</f>
        <v>13:07 - 13:12</v>
      </c>
      <c r="J362" s="36" t="s">
        <v>819</v>
      </c>
      <c r="K362" s="40">
        <v>5.2</v>
      </c>
    </row>
    <row r="363" spans="1:11" ht="14.25" customHeight="1" x14ac:dyDescent="0.35">
      <c r="A363">
        <v>362</v>
      </c>
      <c r="B363">
        <v>51362</v>
      </c>
      <c r="C363" t="s">
        <v>387</v>
      </c>
      <c r="D363" t="s">
        <v>247</v>
      </c>
      <c r="E363" s="36" t="s">
        <v>282</v>
      </c>
      <c r="F363" s="36" t="s">
        <v>380</v>
      </c>
      <c r="G363" s="40">
        <v>1</v>
      </c>
      <c r="H363" s="40" t="s">
        <v>279</v>
      </c>
      <c r="I363" t="str">
        <f>IF(H363="Track 5 Day 1",IFERROR(_xlfn.XLOOKUP("*"&amp;LEFT(C363,FIND(" ",C363&amp;" ")-1)&amp;"*",'[1]Track 5 Day 1'!$C$1:$C$99,'[1]Track 5 Day 1'!$A$1:$A$99,,2),IFERROR(_xlfn.XLOOKUP("*"&amp;LEFT(C363,FIND(" ",C363&amp;" ")-1)&amp;"*",'[1]Track 5 Day 1'!$G$1:$G$99,'[1]Track 5 Day 1'!$E$1:$E$99,,2),"")),"")</f>
        <v>13:13 - 13:18</v>
      </c>
      <c r="J363" s="36" t="s">
        <v>820</v>
      </c>
      <c r="K363" s="40">
        <v>5.2</v>
      </c>
    </row>
    <row r="364" spans="1:11" ht="14.25" customHeight="1" x14ac:dyDescent="0.35">
      <c r="A364">
        <v>363</v>
      </c>
      <c r="B364">
        <v>51363</v>
      </c>
      <c r="C364" t="s">
        <v>388</v>
      </c>
      <c r="D364" t="s">
        <v>11</v>
      </c>
      <c r="E364" s="36" t="s">
        <v>282</v>
      </c>
      <c r="F364" s="36" t="s">
        <v>380</v>
      </c>
      <c r="G364" s="40">
        <v>1</v>
      </c>
      <c r="H364" s="40" t="s">
        <v>279</v>
      </c>
      <c r="I364" t="str">
        <f>IF(H364="Track 5 Day 1",IFERROR(_xlfn.XLOOKUP("*"&amp;LEFT(C364,FIND(" ",C364&amp;" ")-1)&amp;"*",'[1]Track 5 Day 1'!$C$1:$C$99,'[1]Track 5 Day 1'!$A$1:$A$99,,2),IFERROR(_xlfn.XLOOKUP("*"&amp;LEFT(C364,FIND(" ",C364&amp;" ")-1)&amp;"*",'[1]Track 5 Day 1'!$G$1:$G$99,'[1]Track 5 Day 1'!$E$1:$E$99,,2),"")),"")</f>
        <v>13:19 - 13:24</v>
      </c>
      <c r="J364" s="36" t="s">
        <v>821</v>
      </c>
      <c r="K364" s="40">
        <v>5.2</v>
      </c>
    </row>
    <row r="365" spans="1:11" ht="14.25" customHeight="1" x14ac:dyDescent="0.35">
      <c r="A365">
        <v>364</v>
      </c>
      <c r="B365">
        <v>51364</v>
      </c>
      <c r="C365" t="s">
        <v>389</v>
      </c>
      <c r="D365" t="s">
        <v>16</v>
      </c>
      <c r="E365" s="36" t="s">
        <v>282</v>
      </c>
      <c r="F365" s="36" t="s">
        <v>380</v>
      </c>
      <c r="G365" s="40">
        <v>1</v>
      </c>
      <c r="H365" s="40" t="s">
        <v>279</v>
      </c>
      <c r="I365" t="str">
        <f>IF(H365="Track 5 Day 1",IFERROR(_xlfn.XLOOKUP("*"&amp;LEFT(C365,FIND(" ",C365&amp;" ")-1)&amp;"*",'[1]Track 5 Day 1'!$C$1:$C$99,'[1]Track 5 Day 1'!$A$1:$A$99,,2),IFERROR(_xlfn.XLOOKUP("*"&amp;LEFT(C365,FIND(" ",C365&amp;" ")-1)&amp;"*",'[1]Track 5 Day 1'!$G$1:$G$99,'[1]Track 5 Day 1'!$E$1:$E$99,,2),"")),"")</f>
        <v>13:25 - 13:30</v>
      </c>
      <c r="J365" s="36" t="s">
        <v>822</v>
      </c>
      <c r="K365" s="40">
        <v>5.2</v>
      </c>
    </row>
    <row r="366" spans="1:11" ht="14.25" customHeight="1" x14ac:dyDescent="0.35">
      <c r="A366">
        <v>365</v>
      </c>
      <c r="B366">
        <v>51365</v>
      </c>
      <c r="C366" t="s">
        <v>390</v>
      </c>
      <c r="D366" t="s">
        <v>170</v>
      </c>
      <c r="E366" s="36" t="s">
        <v>277</v>
      </c>
      <c r="F366" s="36" t="s">
        <v>391</v>
      </c>
      <c r="G366" s="40">
        <v>1</v>
      </c>
      <c r="H366" s="40" t="s">
        <v>279</v>
      </c>
      <c r="I366" t="str">
        <f>IF(H366="Track 5 Day 1",IFERROR(_xlfn.XLOOKUP("*"&amp;LEFT(C366,FIND(" ",C366&amp;" ")-1)&amp;"*",'[1]Track 5 Day 1'!$C$1:$C$99,'[1]Track 5 Day 1'!$A$1:$A$99,,2),IFERROR(_xlfn.XLOOKUP("*"&amp;LEFT(C366,FIND(" ",C366&amp;" ")-1)&amp;"*",'[1]Track 5 Day 1'!$G$1:$G$99,'[1]Track 5 Day 1'!$E$1:$E$99,,2),"")),"")</f>
        <v>14:55 - 15:00</v>
      </c>
      <c r="J366" t="s">
        <v>823</v>
      </c>
      <c r="K366" s="40">
        <v>5.2</v>
      </c>
    </row>
    <row r="367" spans="1:11" ht="14.25" customHeight="1" x14ac:dyDescent="0.35">
      <c r="A367">
        <v>366</v>
      </c>
      <c r="B367">
        <v>51366</v>
      </c>
      <c r="C367" t="s">
        <v>392</v>
      </c>
      <c r="D367" t="s">
        <v>51</v>
      </c>
      <c r="E367" s="36" t="s">
        <v>277</v>
      </c>
      <c r="F367" s="36" t="s">
        <v>391</v>
      </c>
      <c r="G367" s="40">
        <v>1</v>
      </c>
      <c r="H367" s="40" t="s">
        <v>279</v>
      </c>
      <c r="I367" t="str">
        <f>IF(H367="Track 5 Day 1",IFERROR(_xlfn.XLOOKUP("*"&amp;LEFT(C367,FIND(" ",C367&amp;" ")-1)&amp;"*",'[1]Track 5 Day 1'!$C$1:$C$99,'[1]Track 5 Day 1'!$A$1:$A$99,,2),IFERROR(_xlfn.XLOOKUP("*"&amp;LEFT(C367,FIND(" ",C367&amp;" ")-1)&amp;"*",'[1]Track 5 Day 1'!$G$1:$G$99,'[1]Track 5 Day 1'!$E$1:$E$99,,2),"")),"")</f>
        <v>15:13 - 15:18</v>
      </c>
      <c r="J367" s="36" t="s">
        <v>824</v>
      </c>
      <c r="K367" s="40">
        <v>5.2</v>
      </c>
    </row>
    <row r="368" spans="1:11" ht="14.25" customHeight="1" x14ac:dyDescent="0.35">
      <c r="A368">
        <v>367</v>
      </c>
      <c r="B368">
        <v>51367</v>
      </c>
      <c r="C368" t="s">
        <v>393</v>
      </c>
      <c r="D368" t="s">
        <v>394</v>
      </c>
      <c r="E368" s="36" t="s">
        <v>282</v>
      </c>
      <c r="F368" s="36" t="s">
        <v>391</v>
      </c>
      <c r="G368" s="40">
        <v>1</v>
      </c>
      <c r="H368" s="40" t="s">
        <v>279</v>
      </c>
      <c r="I368" t="str">
        <f>IF(H368="Track 5 Day 1",IFERROR(_xlfn.XLOOKUP("*"&amp;LEFT(C368,FIND(" ",C368&amp;" ")-1)&amp;"*",'[1]Track 5 Day 1'!$C$1:$C$99,'[1]Track 5 Day 1'!$A$1:$A$99,,2),IFERROR(_xlfn.XLOOKUP("*"&amp;LEFT(C368,FIND(" ",C368&amp;" ")-1)&amp;"*",'[1]Track 5 Day 1'!$G$1:$G$99,'[1]Track 5 Day 1'!$E$1:$E$99,,2),"")),"")</f>
        <v>14:30 - 14:36</v>
      </c>
      <c r="J368" s="36" t="s">
        <v>825</v>
      </c>
      <c r="K368" s="40">
        <v>5.2</v>
      </c>
    </row>
    <row r="369" spans="1:11" ht="14.25" customHeight="1" x14ac:dyDescent="0.35">
      <c r="A369">
        <v>368</v>
      </c>
      <c r="B369">
        <v>51368</v>
      </c>
      <c r="C369" t="s">
        <v>395</v>
      </c>
      <c r="D369" t="s">
        <v>181</v>
      </c>
      <c r="E369" s="36" t="s">
        <v>282</v>
      </c>
      <c r="F369" s="36" t="s">
        <v>391</v>
      </c>
      <c r="G369" s="40">
        <v>1</v>
      </c>
      <c r="H369" s="40" t="s">
        <v>279</v>
      </c>
      <c r="I369" t="str">
        <f>IF(H369="Track 5 Day 1",IFERROR(_xlfn.XLOOKUP("*"&amp;LEFT(C369,FIND(" ",C369&amp;" ")-1)&amp;"*",'[1]Track 5 Day 1'!$C$1:$C$99,'[1]Track 5 Day 1'!$A$1:$A$99,,2),IFERROR(_xlfn.XLOOKUP("*"&amp;LEFT(C369,FIND(" ",C369&amp;" ")-1)&amp;"*",'[1]Track 5 Day 1'!$G$1:$G$99,'[1]Track 5 Day 1'!$E$1:$E$99,,2),"")),"")</f>
        <v>12:15 : 12:20</v>
      </c>
      <c r="J369" s="36" t="s">
        <v>814</v>
      </c>
      <c r="K369" s="40">
        <v>5.2</v>
      </c>
    </row>
    <row r="370" spans="1:11" ht="14.25" customHeight="1" x14ac:dyDescent="0.35">
      <c r="A370">
        <v>369</v>
      </c>
      <c r="B370">
        <v>51369</v>
      </c>
      <c r="C370" t="s">
        <v>396</v>
      </c>
      <c r="D370" t="s">
        <v>397</v>
      </c>
      <c r="E370" s="36" t="s">
        <v>282</v>
      </c>
      <c r="F370" s="36" t="s">
        <v>391</v>
      </c>
      <c r="G370" s="40">
        <v>1</v>
      </c>
      <c r="H370" s="40" t="s">
        <v>279</v>
      </c>
      <c r="I370" t="str">
        <f>IF(H370="Track 5 Day 1",IFERROR(_xlfn.XLOOKUP("*"&amp;LEFT(C370,FIND(" ",C370&amp;" ")-1)&amp;"*",'[1]Track 5 Day 1'!$C$1:$C$99,'[1]Track 5 Day 1'!$A$1:$A$99,,2),IFERROR(_xlfn.XLOOKUP("*"&amp;LEFT(C370,FIND(" ",C370&amp;" ")-1)&amp;"*",'[1]Track 5 Day 1'!$G$1:$G$99,'[1]Track 5 Day 1'!$E$1:$E$99,,2),"")),"")</f>
        <v>14:43 - 14:48</v>
      </c>
      <c r="J370" s="36" t="s">
        <v>826</v>
      </c>
      <c r="K370" s="40">
        <v>5.2</v>
      </c>
    </row>
    <row r="371" spans="1:11" ht="14.25" customHeight="1" x14ac:dyDescent="0.35">
      <c r="A371">
        <v>370</v>
      </c>
      <c r="B371">
        <v>51370</v>
      </c>
      <c r="C371" t="s">
        <v>330</v>
      </c>
      <c r="D371" t="s">
        <v>39</v>
      </c>
      <c r="E371" s="36" t="s">
        <v>282</v>
      </c>
      <c r="F371" s="36" t="s">
        <v>391</v>
      </c>
      <c r="G371" s="40">
        <v>1</v>
      </c>
      <c r="H371" s="40" t="s">
        <v>279</v>
      </c>
      <c r="I371" t="str">
        <f>IF(H371="Track 5 Day 1",IFERROR(_xlfn.XLOOKUP("*"&amp;LEFT(C371,FIND(" ",C371&amp;" ")-1)&amp;"*",'[1]Track 5 Day 1'!$C$1:$C$99,'[1]Track 5 Day 1'!$A$1:$A$99,,2),IFERROR(_xlfn.XLOOKUP("*"&amp;LEFT(C371,FIND(" ",C371&amp;" ")-1)&amp;"*",'[1]Track 5 Day 1'!$G$1:$G$99,'[1]Track 5 Day 1'!$E$1:$E$99,,2),"")),"")</f>
        <v>12:55 - 13:00</v>
      </c>
      <c r="J371" s="36" t="s">
        <v>775</v>
      </c>
      <c r="K371" s="40">
        <v>5.2</v>
      </c>
    </row>
    <row r="372" spans="1:11" ht="14.25" customHeight="1" x14ac:dyDescent="0.35">
      <c r="A372">
        <v>371</v>
      </c>
      <c r="B372">
        <v>51371</v>
      </c>
      <c r="C372" t="s">
        <v>398</v>
      </c>
      <c r="D372" t="s">
        <v>75</v>
      </c>
      <c r="E372" s="36" t="s">
        <v>282</v>
      </c>
      <c r="F372" s="36" t="s">
        <v>391</v>
      </c>
      <c r="G372" s="40">
        <v>1</v>
      </c>
      <c r="H372" s="40" t="s">
        <v>279</v>
      </c>
      <c r="I372" t="str">
        <f>IF(H372="Track 5 Day 1",IFERROR(_xlfn.XLOOKUP("*"&amp;LEFT(C372,FIND(" ",C372&amp;" ")-1)&amp;"*",'[1]Track 5 Day 1'!$C$1:$C$99,'[1]Track 5 Day 1'!$A$1:$A$99,,2),IFERROR(_xlfn.XLOOKUP("*"&amp;LEFT(C372,FIND(" ",C372&amp;" ")-1)&amp;"*",'[1]Track 5 Day 1'!$G$1:$G$99,'[1]Track 5 Day 1'!$E$1:$E$99,,2),"")),"")</f>
        <v>14:55 - 15:00</v>
      </c>
      <c r="J372" s="36" t="s">
        <v>823</v>
      </c>
      <c r="K372" s="40">
        <v>5.2</v>
      </c>
    </row>
    <row r="373" spans="1:11" ht="14.25" customHeight="1" x14ac:dyDescent="0.35">
      <c r="A373">
        <v>372</v>
      </c>
      <c r="B373">
        <v>51372</v>
      </c>
      <c r="C373" t="s">
        <v>399</v>
      </c>
      <c r="D373" t="s">
        <v>70</v>
      </c>
      <c r="E373" s="36" t="s">
        <v>282</v>
      </c>
      <c r="F373" s="36" t="s">
        <v>391</v>
      </c>
      <c r="G373" s="40">
        <v>1</v>
      </c>
      <c r="H373" s="40" t="s">
        <v>279</v>
      </c>
      <c r="I373" t="str">
        <f>IF(H373="Track 5 Day 1",IFERROR(_xlfn.XLOOKUP("*"&amp;LEFT(C373,FIND(" ",C373&amp;" ")-1)&amp;"*",'[1]Track 5 Day 1'!$C$1:$C$99,'[1]Track 5 Day 1'!$A$1:$A$99,,2),IFERROR(_xlfn.XLOOKUP("*"&amp;LEFT(C373,FIND(" ",C373&amp;" ")-1)&amp;"*",'[1]Track 5 Day 1'!$G$1:$G$99,'[1]Track 5 Day 1'!$E$1:$E$99,,2),"")),"")</f>
        <v>9:43 - 9:48</v>
      </c>
      <c r="J373" s="36" t="s">
        <v>748</v>
      </c>
      <c r="K373" s="40">
        <v>5.2</v>
      </c>
    </row>
    <row r="374" spans="1:11" ht="14.25" customHeight="1" x14ac:dyDescent="0.35">
      <c r="A374">
        <v>373</v>
      </c>
      <c r="B374">
        <v>51373</v>
      </c>
      <c r="C374" t="s">
        <v>400</v>
      </c>
      <c r="D374" t="s">
        <v>119</v>
      </c>
      <c r="E374" s="36" t="s">
        <v>282</v>
      </c>
      <c r="F374" s="36" t="s">
        <v>391</v>
      </c>
      <c r="G374" s="40">
        <v>1</v>
      </c>
      <c r="H374" s="40" t="s">
        <v>279</v>
      </c>
      <c r="I374" t="str">
        <f>IF(H374="Track 5 Day 1",IFERROR(_xlfn.XLOOKUP("*"&amp;LEFT(C374,FIND(" ",C374&amp;" ")-1)&amp;"*",'[1]Track 5 Day 1'!$C$1:$C$99,'[1]Track 5 Day 1'!$A$1:$A$99,,2),IFERROR(_xlfn.XLOOKUP("*"&amp;LEFT(C374,FIND(" ",C374&amp;" ")-1)&amp;"*",'[1]Track 5 Day 1'!$G$1:$G$99,'[1]Track 5 Day 1'!$E$1:$E$99,,2),"")),"")</f>
        <v>15:07 - 15:12</v>
      </c>
      <c r="J374" s="36" t="s">
        <v>827</v>
      </c>
      <c r="K374" s="40">
        <v>5.2</v>
      </c>
    </row>
    <row r="375" spans="1:11" ht="14.25" customHeight="1" x14ac:dyDescent="0.35">
      <c r="A375">
        <v>374</v>
      </c>
      <c r="B375">
        <v>51374</v>
      </c>
      <c r="C375" t="s">
        <v>401</v>
      </c>
      <c r="D375" t="s">
        <v>16</v>
      </c>
      <c r="E375" s="36" t="s">
        <v>282</v>
      </c>
      <c r="F375" s="36" t="s">
        <v>391</v>
      </c>
      <c r="G375" s="40">
        <v>1</v>
      </c>
      <c r="H375" s="40" t="s">
        <v>279</v>
      </c>
      <c r="I375" t="str">
        <f>IF(H375="Track 5 Day 1",IFERROR(_xlfn.XLOOKUP("*"&amp;LEFT(C375,FIND(" ",C375&amp;" ")-1)&amp;"*",'[1]Track 5 Day 1'!$C$1:$C$99,'[1]Track 5 Day 1'!$A$1:$A$99,,2),IFERROR(_xlfn.XLOOKUP("*"&amp;LEFT(C375,FIND(" ",C375&amp;" ")-1)&amp;"*",'[1]Track 5 Day 1'!$G$1:$G$99,'[1]Track 5 Day 1'!$E$1:$E$99,,2),"")),"")</f>
        <v>15:13 - 15:18</v>
      </c>
      <c r="J375" s="36" t="s">
        <v>824</v>
      </c>
      <c r="K375" s="40">
        <v>5.2</v>
      </c>
    </row>
    <row r="376" spans="1:11" ht="14.25" customHeight="1" x14ac:dyDescent="0.35">
      <c r="A376">
        <v>375</v>
      </c>
      <c r="B376">
        <v>51375</v>
      </c>
      <c r="C376" t="s">
        <v>402</v>
      </c>
      <c r="D376" t="s">
        <v>39</v>
      </c>
      <c r="E376" s="36" t="s">
        <v>282</v>
      </c>
      <c r="F376" s="36" t="s">
        <v>391</v>
      </c>
      <c r="G376" s="40">
        <v>1</v>
      </c>
      <c r="H376" s="40" t="s">
        <v>279</v>
      </c>
      <c r="I376" t="str">
        <f>IF(H376="Track 5 Day 1",IFERROR(_xlfn.XLOOKUP("*"&amp;LEFT(C376,FIND(" ",C376&amp;" ")-1)&amp;"*",'[1]Track 5 Day 1'!$C$1:$C$99,'[1]Track 5 Day 1'!$A$1:$A$99,,2),IFERROR(_xlfn.XLOOKUP("*"&amp;LEFT(C376,FIND(" ",C376&amp;" ")-1)&amp;"*",'[1]Track 5 Day 1'!$G$1:$G$99,'[1]Track 5 Day 1'!$E$1:$E$99,,2),"")),"")</f>
        <v>15:19 - 15:24</v>
      </c>
      <c r="J376" s="36" t="s">
        <v>828</v>
      </c>
      <c r="K376" s="40">
        <v>5.2</v>
      </c>
    </row>
    <row r="377" spans="1:11" ht="14.25" customHeight="1" x14ac:dyDescent="0.35">
      <c r="A377">
        <v>376</v>
      </c>
      <c r="B377">
        <v>52376</v>
      </c>
      <c r="C377" t="s">
        <v>403</v>
      </c>
      <c r="D377" t="s">
        <v>404</v>
      </c>
      <c r="E377" s="36" t="s">
        <v>277</v>
      </c>
      <c r="F377" s="36" t="s">
        <v>405</v>
      </c>
      <c r="G377" s="40">
        <v>2</v>
      </c>
      <c r="H377" s="40" t="s">
        <v>406</v>
      </c>
      <c r="I377" t="str">
        <f>IF(H377="Track 5 Day 2",IFERROR(_xlfn.XLOOKUP("*"&amp;LEFT(C377,FIND(" ",C377&amp;" ")-1)&amp;"*",'[1]Track 5 Day 2'!$C$1:$C$99,'[1]Track 5 Day 2'!$A$1:$A$99,,2),IFERROR(_xlfn.XLOOKUP("*"&amp;LEFT(C377,FIND(" ",C377&amp;" ")-1)&amp;"*",'[1]Track 5 Day 2'!$G$1:$G$99,'[1]Track 5 Day 2'!$E$1:$E$99,,2),"")),"")</f>
        <v/>
      </c>
      <c r="J377" s="36" t="s">
        <v>134</v>
      </c>
      <c r="K377" s="40">
        <v>5.0999999999999996</v>
      </c>
    </row>
    <row r="378" spans="1:11" ht="14.25" customHeight="1" x14ac:dyDescent="0.35">
      <c r="A378">
        <v>377</v>
      </c>
      <c r="B378">
        <v>52377</v>
      </c>
      <c r="C378" t="s">
        <v>407</v>
      </c>
      <c r="D378" t="s">
        <v>16</v>
      </c>
      <c r="E378" s="36" t="s">
        <v>277</v>
      </c>
      <c r="F378" s="36" t="s">
        <v>405</v>
      </c>
      <c r="G378" s="40">
        <v>2</v>
      </c>
      <c r="H378" s="40" t="s">
        <v>406</v>
      </c>
      <c r="I378" t="str">
        <f>IF(H378="Track 5 Day 2",IFERROR(_xlfn.XLOOKUP("*"&amp;LEFT(C378,FIND(" ",C378&amp;" ")-1)&amp;"*",'[1]Track 5 Day 2'!$C$1:$C$99,'[1]Track 5 Day 2'!$A$1:$A$99,,2),IFERROR(_xlfn.XLOOKUP("*"&amp;LEFT(C378,FIND(" ",C378&amp;" ")-1)&amp;"*",'[1]Track 5 Day 2'!$G$1:$G$99,'[1]Track 5 Day 2'!$E$1:$E$99,,2),"")),"")</f>
        <v/>
      </c>
      <c r="J378" s="36" t="s">
        <v>134</v>
      </c>
      <c r="K378" s="40">
        <v>5.0999999999999996</v>
      </c>
    </row>
    <row r="379" spans="1:11" ht="14.25" customHeight="1" x14ac:dyDescent="0.35">
      <c r="A379">
        <v>378</v>
      </c>
      <c r="B379">
        <v>52378</v>
      </c>
      <c r="C379" t="s">
        <v>408</v>
      </c>
      <c r="D379" t="s">
        <v>16</v>
      </c>
      <c r="E379" s="36" t="s">
        <v>282</v>
      </c>
      <c r="F379" s="36" t="s">
        <v>405</v>
      </c>
      <c r="G379" s="40">
        <v>2</v>
      </c>
      <c r="H379" s="40" t="s">
        <v>406</v>
      </c>
      <c r="I379" t="str">
        <f>IF(H379="Track 5 Day 2",IFERROR(_xlfn.XLOOKUP("*"&amp;LEFT(C379,FIND(" ",C379&amp;" ")-1)&amp;"*",'[1]Track 5 Day 2'!$C$1:$C$99,'[1]Track 5 Day 2'!$A$1:$A$99,,2),IFERROR(_xlfn.XLOOKUP("*"&amp;LEFT(C379,FIND(" ",C379&amp;" ")-1)&amp;"*",'[1]Track 5 Day 2'!$G$1:$G$99,'[1]Track 5 Day 2'!$E$1:$E$99,,2),"")),"")</f>
        <v>9:00 - 9:06</v>
      </c>
      <c r="J379" s="36" t="s">
        <v>829</v>
      </c>
      <c r="K379" s="40">
        <v>5.0999999999999996</v>
      </c>
    </row>
    <row r="380" spans="1:11" ht="14.25" customHeight="1" x14ac:dyDescent="0.35">
      <c r="A380">
        <v>379</v>
      </c>
      <c r="B380">
        <v>52379</v>
      </c>
      <c r="C380" t="s">
        <v>409</v>
      </c>
      <c r="D380" t="s">
        <v>410</v>
      </c>
      <c r="E380" s="36" t="s">
        <v>282</v>
      </c>
      <c r="F380" s="36" t="s">
        <v>405</v>
      </c>
      <c r="G380" s="40">
        <v>2</v>
      </c>
      <c r="H380" s="40" t="s">
        <v>406</v>
      </c>
      <c r="I380" t="str">
        <f>IF(H380="Track 5 Day 2",IFERROR(_xlfn.XLOOKUP("*"&amp;LEFT(C380,FIND(" ",C380&amp;" ")-1)&amp;"*",'[1]Track 5 Day 2'!$C$1:$C$99,'[1]Track 5 Day 2'!$A$1:$A$99,,2),IFERROR(_xlfn.XLOOKUP("*"&amp;LEFT(C380,FIND(" ",C380&amp;" ")-1)&amp;"*",'[1]Track 5 Day 2'!$G$1:$G$99,'[1]Track 5 Day 2'!$E$1:$E$99,,2),"")),"")</f>
        <v>9:07 - 9:12</v>
      </c>
      <c r="J380" s="36" t="s">
        <v>830</v>
      </c>
      <c r="K380" s="40">
        <v>5.0999999999999996</v>
      </c>
    </row>
    <row r="381" spans="1:11" ht="14.25" customHeight="1" x14ac:dyDescent="0.35">
      <c r="A381">
        <v>380</v>
      </c>
      <c r="B381">
        <v>52380</v>
      </c>
      <c r="C381" t="s">
        <v>411</v>
      </c>
      <c r="D381" t="s">
        <v>132</v>
      </c>
      <c r="E381" s="36" t="s">
        <v>282</v>
      </c>
      <c r="F381" s="36" t="s">
        <v>405</v>
      </c>
      <c r="G381" s="40">
        <v>2</v>
      </c>
      <c r="H381" s="40" t="s">
        <v>406</v>
      </c>
      <c r="I381" t="str">
        <f>IF(H381="Track 5 Day 2",IFERROR(_xlfn.XLOOKUP("*"&amp;LEFT(C381,FIND(" ",C381&amp;" ")-1)&amp;"*",'[1]Track 5 Day 2'!$C$1:$C$99,'[1]Track 5 Day 2'!$A$1:$A$99,,2),IFERROR(_xlfn.XLOOKUP("*"&amp;LEFT(C381,FIND(" ",C381&amp;" ")-1)&amp;"*",'[1]Track 5 Day 2'!$G$1:$G$99,'[1]Track 5 Day 2'!$E$1:$E$99,,2),"")),"")</f>
        <v>9:13 - 9:18</v>
      </c>
      <c r="J381" s="36" t="s">
        <v>831</v>
      </c>
      <c r="K381" s="40">
        <v>5.0999999999999996</v>
      </c>
    </row>
    <row r="382" spans="1:11" ht="14.25" customHeight="1" x14ac:dyDescent="0.35">
      <c r="A382">
        <v>381</v>
      </c>
      <c r="B382">
        <v>52381</v>
      </c>
      <c r="C382" t="s">
        <v>412</v>
      </c>
      <c r="D382" t="s">
        <v>51</v>
      </c>
      <c r="E382" s="36" t="s">
        <v>282</v>
      </c>
      <c r="F382" s="36" t="s">
        <v>405</v>
      </c>
      <c r="G382" s="40">
        <v>2</v>
      </c>
      <c r="H382" s="40" t="s">
        <v>406</v>
      </c>
      <c r="I382" t="str">
        <f>IF(H382="Track 5 Day 2",IFERROR(_xlfn.XLOOKUP("*"&amp;LEFT(C382,FIND(" ",C382&amp;" ")-1)&amp;"*",'[1]Track 5 Day 2'!$C$1:$C$99,'[1]Track 5 Day 2'!$A$1:$A$99,,2),IFERROR(_xlfn.XLOOKUP("*"&amp;LEFT(C382,FIND(" ",C382&amp;" ")-1)&amp;"*",'[1]Track 5 Day 2'!$G$1:$G$99,'[1]Track 5 Day 2'!$E$1:$E$99,,2),"")),"")</f>
        <v>9:19 - 9:24</v>
      </c>
      <c r="J382" s="36" t="s">
        <v>832</v>
      </c>
      <c r="K382" s="40">
        <v>5.0999999999999996</v>
      </c>
    </row>
    <row r="383" spans="1:11" ht="14.25" customHeight="1" x14ac:dyDescent="0.35">
      <c r="A383">
        <v>382</v>
      </c>
      <c r="B383">
        <v>52382</v>
      </c>
      <c r="C383" t="s">
        <v>413</v>
      </c>
      <c r="D383" t="s">
        <v>39</v>
      </c>
      <c r="E383" s="36" t="s">
        <v>282</v>
      </c>
      <c r="F383" s="36" t="s">
        <v>405</v>
      </c>
      <c r="G383" s="40">
        <v>2</v>
      </c>
      <c r="H383" s="40" t="s">
        <v>406</v>
      </c>
      <c r="I383" t="str">
        <f>IF(H383="Track 5 Day 2",IFERROR(_xlfn.XLOOKUP("*"&amp;LEFT(C383,FIND(" ",C383&amp;" ")-1)&amp;"*",'[1]Track 5 Day 2'!$C$1:$C$99,'[1]Track 5 Day 2'!$A$1:$A$99,,2),IFERROR(_xlfn.XLOOKUP("*"&amp;LEFT(C383,FIND(" ",C383&amp;" ")-1)&amp;"*",'[1]Track 5 Day 2'!$G$1:$G$99,'[1]Track 5 Day 2'!$E$1:$E$99,,2),"")),"")</f>
        <v>9:25 - 9:30</v>
      </c>
      <c r="J383" s="36" t="s">
        <v>833</v>
      </c>
      <c r="K383" s="40">
        <v>5.0999999999999996</v>
      </c>
    </row>
    <row r="384" spans="1:11" ht="14.25" customHeight="1" x14ac:dyDescent="0.35">
      <c r="A384">
        <v>383</v>
      </c>
      <c r="B384">
        <v>52383</v>
      </c>
      <c r="C384" t="s">
        <v>414</v>
      </c>
      <c r="D384" t="s">
        <v>18</v>
      </c>
      <c r="E384" s="36" t="s">
        <v>282</v>
      </c>
      <c r="F384" s="36" t="s">
        <v>405</v>
      </c>
      <c r="G384" s="40">
        <v>2</v>
      </c>
      <c r="H384" s="40" t="s">
        <v>406</v>
      </c>
      <c r="I384" t="str">
        <f>IF(H384="Track 5 Day 2",IFERROR(_xlfn.XLOOKUP("*"&amp;LEFT(C384,FIND(" ",C384&amp;" ")-1)&amp;"*",'[1]Track 5 Day 2'!$C$1:$C$99,'[1]Track 5 Day 2'!$A$1:$A$99,,2),IFERROR(_xlfn.XLOOKUP("*"&amp;LEFT(C384,FIND(" ",C384&amp;" ")-1)&amp;"*",'[1]Track 5 Day 2'!$G$1:$G$99,'[1]Track 5 Day 2'!$E$1:$E$99,,2),"")),"")</f>
        <v>9:31 - 9:36</v>
      </c>
      <c r="J384" s="36" t="s">
        <v>834</v>
      </c>
      <c r="K384" s="40">
        <v>5.0999999999999996</v>
      </c>
    </row>
    <row r="385" spans="1:11" ht="14.25" customHeight="1" x14ac:dyDescent="0.35">
      <c r="A385">
        <v>384</v>
      </c>
      <c r="B385">
        <v>52384</v>
      </c>
      <c r="C385" t="s">
        <v>415</v>
      </c>
      <c r="D385" t="s">
        <v>18</v>
      </c>
      <c r="E385" s="36" t="s">
        <v>282</v>
      </c>
      <c r="F385" s="36" t="s">
        <v>405</v>
      </c>
      <c r="G385" s="40">
        <v>2</v>
      </c>
      <c r="H385" s="40" t="s">
        <v>406</v>
      </c>
      <c r="I385" t="str">
        <f>IF(H385="Track 5 Day 2",IFERROR(_xlfn.XLOOKUP("*"&amp;LEFT(C385,FIND(" ",C385&amp;" ")-1)&amp;"*",'[1]Track 5 Day 2'!$C$1:$C$99,'[1]Track 5 Day 2'!$A$1:$A$99,,2),IFERROR(_xlfn.XLOOKUP("*"&amp;LEFT(C385,FIND(" ",C385&amp;" ")-1)&amp;"*",'[1]Track 5 Day 2'!$G$1:$G$99,'[1]Track 5 Day 2'!$E$1:$E$99,,2),"")),"")</f>
        <v>9:37 - 9:42</v>
      </c>
      <c r="J385" s="36" t="s">
        <v>835</v>
      </c>
      <c r="K385" s="40">
        <v>5.0999999999999996</v>
      </c>
    </row>
    <row r="386" spans="1:11" ht="14.25" customHeight="1" x14ac:dyDescent="0.35">
      <c r="A386">
        <v>385</v>
      </c>
      <c r="B386">
        <v>52385</v>
      </c>
      <c r="C386" t="s">
        <v>416</v>
      </c>
      <c r="D386" t="s">
        <v>18</v>
      </c>
      <c r="E386" s="36" t="s">
        <v>282</v>
      </c>
      <c r="F386" s="36" t="s">
        <v>405</v>
      </c>
      <c r="G386" s="40">
        <v>2</v>
      </c>
      <c r="H386" s="40" t="s">
        <v>406</v>
      </c>
      <c r="I386" t="str">
        <f>IF(H386="Track 5 Day 2",IFERROR(_xlfn.XLOOKUP("*"&amp;LEFT(C386,FIND(" ",C386&amp;" ")-1)&amp;"*",'[1]Track 5 Day 2'!$C$1:$C$99,'[1]Track 5 Day 2'!$A$1:$A$99,,2),IFERROR(_xlfn.XLOOKUP("*"&amp;LEFT(C386,FIND(" ",C386&amp;" ")-1)&amp;"*",'[1]Track 5 Day 2'!$G$1:$G$99,'[1]Track 5 Day 2'!$E$1:$E$99,,2),"")),"")</f>
        <v>9:43 - 9:48</v>
      </c>
      <c r="J386" s="36" t="s">
        <v>836</v>
      </c>
      <c r="K386" s="40">
        <v>5.0999999999999996</v>
      </c>
    </row>
    <row r="387" spans="1:11" ht="14.25" customHeight="1" x14ac:dyDescent="0.35">
      <c r="A387">
        <v>386</v>
      </c>
      <c r="B387">
        <v>52386</v>
      </c>
      <c r="C387" t="s">
        <v>417</v>
      </c>
      <c r="D387" t="s">
        <v>18</v>
      </c>
      <c r="E387" s="36" t="s">
        <v>282</v>
      </c>
      <c r="F387" s="36" t="s">
        <v>405</v>
      </c>
      <c r="G387" s="40">
        <v>2</v>
      </c>
      <c r="H387" s="40" t="s">
        <v>406</v>
      </c>
      <c r="I387" t="str">
        <f>IF(H387="Track 5 Day 2",IFERROR(_xlfn.XLOOKUP("*"&amp;LEFT(C387,FIND(" ",C387&amp;" ")-1)&amp;"*",'[1]Track 5 Day 2'!$C$1:$C$99,'[1]Track 5 Day 2'!$A$1:$A$99,,2),IFERROR(_xlfn.XLOOKUP("*"&amp;LEFT(C387,FIND(" ",C387&amp;" ")-1)&amp;"*",'[1]Track 5 Day 2'!$G$1:$G$99,'[1]Track 5 Day 2'!$E$1:$E$99,,2),"")),"")</f>
        <v>9:49 - 9:54</v>
      </c>
      <c r="J387" s="36" t="s">
        <v>837</v>
      </c>
      <c r="K387" s="40">
        <v>5.0999999999999996</v>
      </c>
    </row>
    <row r="388" spans="1:11" ht="14.25" customHeight="1" x14ac:dyDescent="0.35">
      <c r="A388">
        <v>387</v>
      </c>
      <c r="B388">
        <v>52387</v>
      </c>
      <c r="C388" t="s">
        <v>418</v>
      </c>
      <c r="D388" t="s">
        <v>16</v>
      </c>
      <c r="E388" s="36" t="s">
        <v>277</v>
      </c>
      <c r="F388" s="36" t="s">
        <v>419</v>
      </c>
      <c r="G388" s="40">
        <v>2</v>
      </c>
      <c r="H388" s="40" t="s">
        <v>406</v>
      </c>
      <c r="I388" t="str">
        <f>IF(H388="Track 5 Day 2",IFERROR(_xlfn.XLOOKUP("*"&amp;LEFT(C388,FIND(" ",C388&amp;" ")-1)&amp;"*",'[1]Track 5 Day 2'!$C$1:$C$99,'[1]Track 5 Day 2'!$A$1:$A$99,,2),IFERROR(_xlfn.XLOOKUP("*"&amp;LEFT(C388,FIND(" ",C388&amp;" ")-1)&amp;"*",'[1]Track 5 Day 2'!$G$1:$G$99,'[1]Track 5 Day 2'!$E$1:$E$99,,2),"")),"")</f>
        <v/>
      </c>
      <c r="J388" s="36" t="s">
        <v>134</v>
      </c>
      <c r="K388" s="40">
        <v>5.0999999999999996</v>
      </c>
    </row>
    <row r="389" spans="1:11" ht="14.25" customHeight="1" x14ac:dyDescent="0.35">
      <c r="A389">
        <v>388</v>
      </c>
      <c r="B389">
        <v>52388</v>
      </c>
      <c r="C389" t="s">
        <v>125</v>
      </c>
      <c r="D389" t="s">
        <v>111</v>
      </c>
      <c r="E389" s="36" t="s">
        <v>277</v>
      </c>
      <c r="F389" s="36" t="s">
        <v>419</v>
      </c>
      <c r="G389" s="40">
        <v>2</v>
      </c>
      <c r="H389" s="40" t="s">
        <v>406</v>
      </c>
      <c r="I389" t="str">
        <f>IF(H389="Track 5 Day 2",IFERROR(_xlfn.XLOOKUP("*"&amp;LEFT(C389,FIND(" ",C389&amp;" ")-1)&amp;"*",'[1]Track 5 Day 2'!$C$1:$C$99,'[1]Track 5 Day 2'!$A$1:$A$99,,2),IFERROR(_xlfn.XLOOKUP("*"&amp;LEFT(C389,FIND(" ",C389&amp;" ")-1)&amp;"*",'[1]Track 5 Day 2'!$G$1:$G$99,'[1]Track 5 Day 2'!$E$1:$E$99,,2),"")),"")</f>
        <v/>
      </c>
      <c r="J389" s="41" t="s">
        <v>134</v>
      </c>
      <c r="K389" s="40">
        <v>5.0999999999999996</v>
      </c>
    </row>
    <row r="390" spans="1:11" ht="14.25" customHeight="1" x14ac:dyDescent="0.35">
      <c r="A390">
        <v>389</v>
      </c>
      <c r="B390">
        <v>52389</v>
      </c>
      <c r="C390" t="s">
        <v>291</v>
      </c>
      <c r="D390" t="s">
        <v>119</v>
      </c>
      <c r="E390" s="36" t="s">
        <v>282</v>
      </c>
      <c r="F390" s="36" t="s">
        <v>419</v>
      </c>
      <c r="G390" s="40">
        <v>2</v>
      </c>
      <c r="H390" s="40" t="s">
        <v>406</v>
      </c>
      <c r="I390" t="str">
        <f>IF(H390="Track 5 Day 2",IFERROR(_xlfn.XLOOKUP("*"&amp;LEFT(C390,FIND(" ",C390&amp;" ")-1)&amp;"*",'[1]Track 5 Day 2'!$C$1:$C$99,'[1]Track 5 Day 2'!$A$1:$A$99,,2),IFERROR(_xlfn.XLOOKUP("*"&amp;LEFT(C390,FIND(" ",C390&amp;" ")-1)&amp;"*",'[1]Track 5 Day 2'!$G$1:$G$99,'[1]Track 5 Day 2'!$E$1:$E$99,,2),"")),"")</f>
        <v>10:10 - 10:16</v>
      </c>
      <c r="J390" s="36" t="s">
        <v>838</v>
      </c>
      <c r="K390" s="40">
        <v>5.0999999999999996</v>
      </c>
    </row>
    <row r="391" spans="1:11" ht="14.25" customHeight="1" x14ac:dyDescent="0.35">
      <c r="A391">
        <v>390</v>
      </c>
      <c r="B391">
        <v>52390</v>
      </c>
      <c r="C391" t="s">
        <v>256</v>
      </c>
      <c r="D391" t="s">
        <v>39</v>
      </c>
      <c r="E391" s="36" t="s">
        <v>282</v>
      </c>
      <c r="F391" s="36" t="s">
        <v>419</v>
      </c>
      <c r="G391" s="40">
        <v>2</v>
      </c>
      <c r="H391" s="40" t="s">
        <v>406</v>
      </c>
      <c r="I391" t="str">
        <f>IF(H391="Track 5 Day 2",IFERROR(_xlfn.XLOOKUP("*"&amp;LEFT(C391,FIND(" ",C391&amp;" ")-1)&amp;"*",'[1]Track 5 Day 2'!$C$1:$C$99,'[1]Track 5 Day 2'!$A$1:$A$99,,2),IFERROR(_xlfn.XLOOKUP("*"&amp;LEFT(C391,FIND(" ",C391&amp;" ")-1)&amp;"*",'[1]Track 5 Day 2'!$G$1:$G$99,'[1]Track 5 Day 2'!$E$1:$E$99,,2),"")),"")</f>
        <v>10:17 - 10:22</v>
      </c>
      <c r="J391" s="36" t="s">
        <v>839</v>
      </c>
      <c r="K391" s="40">
        <v>5.0999999999999996</v>
      </c>
    </row>
    <row r="392" spans="1:11" ht="14.25" customHeight="1" x14ac:dyDescent="0.35">
      <c r="A392">
        <v>391</v>
      </c>
      <c r="B392">
        <v>52391</v>
      </c>
      <c r="C392" t="s">
        <v>382</v>
      </c>
      <c r="D392" t="s">
        <v>39</v>
      </c>
      <c r="E392" s="36" t="s">
        <v>282</v>
      </c>
      <c r="F392" s="36" t="s">
        <v>419</v>
      </c>
      <c r="G392" s="40">
        <v>2</v>
      </c>
      <c r="H392" s="40" t="s">
        <v>406</v>
      </c>
      <c r="I392" t="str">
        <f>IF(H392="Track 5 Day 2",IFERROR(_xlfn.XLOOKUP("*"&amp;LEFT(C392,FIND(" ",C392&amp;" ")-1)&amp;"*",'[1]Track 5 Day 2'!$C$1:$C$99,'[1]Track 5 Day 2'!$A$1:$A$99,,2),IFERROR(_xlfn.XLOOKUP("*"&amp;LEFT(C392,FIND(" ",C392&amp;" ")-1)&amp;"*",'[1]Track 5 Day 2'!$G$1:$G$99,'[1]Track 5 Day 2'!$E$1:$E$99,,2),"")),"")</f>
        <v>10:23 - 10:28</v>
      </c>
      <c r="J392" s="36" t="s">
        <v>840</v>
      </c>
      <c r="K392" s="40">
        <v>5.0999999999999996</v>
      </c>
    </row>
    <row r="393" spans="1:11" ht="14.25" customHeight="1" x14ac:dyDescent="0.35">
      <c r="A393">
        <v>392</v>
      </c>
      <c r="B393">
        <v>52392</v>
      </c>
      <c r="C393" t="s">
        <v>420</v>
      </c>
      <c r="D393" t="s">
        <v>39</v>
      </c>
      <c r="E393" s="36" t="s">
        <v>282</v>
      </c>
      <c r="F393" s="36" t="s">
        <v>419</v>
      </c>
      <c r="G393" s="40">
        <v>2</v>
      </c>
      <c r="H393" s="40" t="s">
        <v>406</v>
      </c>
      <c r="I393" t="str">
        <f>IF(H393="Track 5 Day 2",IFERROR(_xlfn.XLOOKUP("*"&amp;LEFT(C393,FIND(" ",C393&amp;" ")-1)&amp;"*",'[1]Track 5 Day 2'!$C$1:$C$99,'[1]Track 5 Day 2'!$A$1:$A$99,,2),IFERROR(_xlfn.XLOOKUP("*"&amp;LEFT(C393,FIND(" ",C393&amp;" ")-1)&amp;"*",'[1]Track 5 Day 2'!$G$1:$G$99,'[1]Track 5 Day 2'!$E$1:$E$99,,2),"")),"")</f>
        <v>10:29 - 10:34</v>
      </c>
      <c r="J393" s="36" t="s">
        <v>841</v>
      </c>
      <c r="K393" s="40">
        <v>5.0999999999999996</v>
      </c>
    </row>
    <row r="394" spans="1:11" ht="14.25" customHeight="1" x14ac:dyDescent="0.35">
      <c r="A394">
        <v>393</v>
      </c>
      <c r="B394">
        <v>52393</v>
      </c>
      <c r="C394" t="s">
        <v>421</v>
      </c>
      <c r="D394" t="s">
        <v>31</v>
      </c>
      <c r="E394" s="36" t="s">
        <v>282</v>
      </c>
      <c r="F394" s="36" t="s">
        <v>419</v>
      </c>
      <c r="G394" s="40">
        <v>2</v>
      </c>
      <c r="H394" s="40" t="s">
        <v>406</v>
      </c>
      <c r="I394" t="str">
        <f>IF(H394="Track 5 Day 2",IFERROR(_xlfn.XLOOKUP("*"&amp;LEFT(C394,FIND(" ",C394&amp;" ")-1)&amp;"*",'[1]Track 5 Day 2'!$C$1:$C$99,'[1]Track 5 Day 2'!$A$1:$A$99,,2),IFERROR(_xlfn.XLOOKUP("*"&amp;LEFT(C394,FIND(" ",C394&amp;" ")-1)&amp;"*",'[1]Track 5 Day 2'!$G$1:$G$99,'[1]Track 5 Day 2'!$E$1:$E$99,,2),"")),"")</f>
        <v>10:35 - 19:40</v>
      </c>
      <c r="J394" s="36" t="s">
        <v>842</v>
      </c>
      <c r="K394" s="40">
        <v>5.0999999999999996</v>
      </c>
    </row>
    <row r="395" spans="1:11" ht="14.25" customHeight="1" x14ac:dyDescent="0.35">
      <c r="A395">
        <v>394</v>
      </c>
      <c r="B395">
        <v>52394</v>
      </c>
      <c r="C395" t="s">
        <v>422</v>
      </c>
      <c r="D395" t="s">
        <v>423</v>
      </c>
      <c r="E395" s="36" t="s">
        <v>282</v>
      </c>
      <c r="F395" s="36" t="s">
        <v>419</v>
      </c>
      <c r="G395" s="40">
        <v>2</v>
      </c>
      <c r="H395" s="40" t="s">
        <v>406</v>
      </c>
      <c r="I395" t="str">
        <f>IF(H395="Track 5 Day 2",IFERROR(_xlfn.XLOOKUP("*"&amp;LEFT(C395,FIND(" ",C395&amp;" ")-1)&amp;"*",'[1]Track 5 Day 2'!$C$1:$C$99,'[1]Track 5 Day 2'!$A$1:$A$99,,2),IFERROR(_xlfn.XLOOKUP("*"&amp;LEFT(C395,FIND(" ",C395&amp;" ")-1)&amp;"*",'[1]Track 5 Day 2'!$G$1:$G$99,'[1]Track 5 Day 2'!$E$1:$E$99,,2),"")),"")</f>
        <v>10:41 - 10:46</v>
      </c>
      <c r="J395" s="36" t="s">
        <v>843</v>
      </c>
      <c r="K395" s="40">
        <v>5.0999999999999996</v>
      </c>
    </row>
    <row r="396" spans="1:11" ht="14.25" customHeight="1" x14ac:dyDescent="0.35">
      <c r="A396">
        <v>395</v>
      </c>
      <c r="B396">
        <v>52395</v>
      </c>
      <c r="C396" t="s">
        <v>424</v>
      </c>
      <c r="D396" t="s">
        <v>425</v>
      </c>
      <c r="E396" s="36" t="s">
        <v>282</v>
      </c>
      <c r="F396" s="36" t="s">
        <v>419</v>
      </c>
      <c r="G396" s="40">
        <v>2</v>
      </c>
      <c r="H396" s="40" t="s">
        <v>406</v>
      </c>
      <c r="I396" t="str">
        <f>IF(H396="Track 5 Day 2",IFERROR(_xlfn.XLOOKUP("*"&amp;LEFT(C396,FIND(" ",C396&amp;" ")-1)&amp;"*",'[1]Track 5 Day 2'!$C$1:$C$99,'[1]Track 5 Day 2'!$A$1:$A$99,,2),IFERROR(_xlfn.XLOOKUP("*"&amp;LEFT(C396,FIND(" ",C396&amp;" ")-1)&amp;"*",'[1]Track 5 Day 2'!$G$1:$G$99,'[1]Track 5 Day 2'!$E$1:$E$99,,2),"")),"")</f>
        <v>10:47 - 10:52</v>
      </c>
      <c r="J396" s="36" t="s">
        <v>844</v>
      </c>
      <c r="K396" s="40">
        <v>5.0999999999999996</v>
      </c>
    </row>
    <row r="397" spans="1:11" ht="14.25" customHeight="1" x14ac:dyDescent="0.35">
      <c r="A397">
        <v>396</v>
      </c>
      <c r="B397">
        <v>52396</v>
      </c>
      <c r="C397" t="s">
        <v>426</v>
      </c>
      <c r="D397" t="s">
        <v>39</v>
      </c>
      <c r="E397" s="36" t="s">
        <v>282</v>
      </c>
      <c r="F397" s="36" t="s">
        <v>419</v>
      </c>
      <c r="G397" s="40">
        <v>2</v>
      </c>
      <c r="H397" s="40" t="s">
        <v>406</v>
      </c>
      <c r="I397" t="str">
        <f>IF(H397="Track 5 Day 2",IFERROR(_xlfn.XLOOKUP("*"&amp;LEFT(C397,FIND(" ",C397&amp;" ")-1)&amp;"*",'[1]Track 5 Day 2'!$C$1:$C$99,'[1]Track 5 Day 2'!$A$1:$A$99,,2),IFERROR(_xlfn.XLOOKUP("*"&amp;LEFT(C397,FIND(" ",C397&amp;" ")-1)&amp;"*",'[1]Track 5 Day 2'!$G$1:$G$99,'[1]Track 5 Day 2'!$E$1:$E$99,,2),"")),"")</f>
        <v>10:53 - 10:58</v>
      </c>
      <c r="J397" s="36" t="s">
        <v>845</v>
      </c>
      <c r="K397" s="40">
        <v>5.0999999999999996</v>
      </c>
    </row>
    <row r="398" spans="1:11" ht="14.25" customHeight="1" x14ac:dyDescent="0.35">
      <c r="A398">
        <v>397</v>
      </c>
      <c r="B398">
        <v>52397</v>
      </c>
      <c r="C398" t="s">
        <v>427</v>
      </c>
      <c r="D398" t="s">
        <v>35</v>
      </c>
      <c r="E398" s="36" t="s">
        <v>282</v>
      </c>
      <c r="F398" s="36" t="s">
        <v>419</v>
      </c>
      <c r="G398" s="40">
        <v>2</v>
      </c>
      <c r="H398" s="40" t="s">
        <v>406</v>
      </c>
      <c r="I398" t="str">
        <f>IF(H398="Track 5 Day 2",IFERROR(_xlfn.XLOOKUP("*"&amp;LEFT(C398,FIND(" ",C398&amp;" ")-1)&amp;"*",'[1]Track 5 Day 2'!$C$1:$C$99,'[1]Track 5 Day 2'!$A$1:$A$99,,2),IFERROR(_xlfn.XLOOKUP("*"&amp;LEFT(C398,FIND(" ",C398&amp;" ")-1)&amp;"*",'[1]Track 5 Day 2'!$G$1:$G$99,'[1]Track 5 Day 2'!$E$1:$E$99,,2),"")),"")</f>
        <v>10:59 - 11:04</v>
      </c>
      <c r="J398" s="36" t="s">
        <v>846</v>
      </c>
      <c r="K398" s="40">
        <v>5.0999999999999996</v>
      </c>
    </row>
    <row r="399" spans="1:11" ht="14.25" customHeight="1" x14ac:dyDescent="0.35">
      <c r="A399">
        <v>398</v>
      </c>
      <c r="B399">
        <v>52398</v>
      </c>
      <c r="C399" t="s">
        <v>428</v>
      </c>
      <c r="D399" t="s">
        <v>18</v>
      </c>
      <c r="E399" s="36" t="s">
        <v>282</v>
      </c>
      <c r="F399" s="36" t="s">
        <v>419</v>
      </c>
      <c r="G399" s="40">
        <v>2</v>
      </c>
      <c r="H399" s="40" t="s">
        <v>406</v>
      </c>
      <c r="I399" t="str">
        <f>IF(H399="Track 5 Day 2",IFERROR(_xlfn.XLOOKUP("*"&amp;LEFT(C399,FIND(" ",C399&amp;" ")-1)&amp;"*",'[1]Track 5 Day 2'!$C$1:$C$99,'[1]Track 5 Day 2'!$A$1:$A$99,,2),IFERROR(_xlfn.XLOOKUP("*"&amp;LEFT(C399,FIND(" ",C399&amp;" ")-1)&amp;"*",'[1]Track 5 Day 2'!$G$1:$G$99,'[1]Track 5 Day 2'!$E$1:$E$99,,2),"")),"")</f>
        <v>11:05 - 11:10</v>
      </c>
      <c r="J399" s="36" t="s">
        <v>847</v>
      </c>
      <c r="K399" s="40">
        <v>5.0999999999999996</v>
      </c>
    </row>
    <row r="400" spans="1:11" ht="14.25" customHeight="1" x14ac:dyDescent="0.35">
      <c r="A400">
        <v>399</v>
      </c>
      <c r="B400">
        <v>52399</v>
      </c>
      <c r="C400" t="s">
        <v>116</v>
      </c>
      <c r="D400" t="s">
        <v>33</v>
      </c>
      <c r="E400" s="36" t="s">
        <v>277</v>
      </c>
      <c r="F400" s="36" t="s">
        <v>429</v>
      </c>
      <c r="G400" s="40">
        <v>2</v>
      </c>
      <c r="H400" s="40" t="s">
        <v>406</v>
      </c>
      <c r="I400" t="str">
        <f>IF(H400="Track 5 Day 2",IFERROR(_xlfn.XLOOKUP("*"&amp;LEFT(C400,FIND(" ",C400&amp;" ")-1)&amp;"*",'[1]Track 5 Day 2'!$C$1:$C$99,'[1]Track 5 Day 2'!$A$1:$A$99,,2),IFERROR(_xlfn.XLOOKUP("*"&amp;LEFT(C400,FIND(" ",C400&amp;" ")-1)&amp;"*",'[1]Track 5 Day 2'!$G$1:$G$99,'[1]Track 5 Day 2'!$E$1:$E$99,,2),"")),"")</f>
        <v>9:19 - 9:24</v>
      </c>
      <c r="J400" s="36" t="s">
        <v>832</v>
      </c>
      <c r="K400" s="40">
        <v>5.0999999999999996</v>
      </c>
    </row>
    <row r="401" spans="1:11" ht="14.25" customHeight="1" x14ac:dyDescent="0.35">
      <c r="A401">
        <v>400</v>
      </c>
      <c r="B401">
        <v>52400</v>
      </c>
      <c r="C401" t="s">
        <v>130</v>
      </c>
      <c r="D401" t="s">
        <v>111</v>
      </c>
      <c r="E401" s="36" t="s">
        <v>277</v>
      </c>
      <c r="F401" s="36" t="s">
        <v>429</v>
      </c>
      <c r="G401" s="40">
        <v>2</v>
      </c>
      <c r="H401" s="40" t="s">
        <v>406</v>
      </c>
      <c r="I401" t="str">
        <f>IF(H401="Track 5 Day 2",IFERROR(_xlfn.XLOOKUP("*"&amp;LEFT(C401,FIND(" ",C401&amp;" ")-1)&amp;"*",'[1]Track 5 Day 2'!$C$1:$C$99,'[1]Track 5 Day 2'!$A$1:$A$99,,2),IFERROR(_xlfn.XLOOKUP("*"&amp;LEFT(C401,FIND(" ",C401&amp;" ")-1)&amp;"*",'[1]Track 5 Day 2'!$G$1:$G$99,'[1]Track 5 Day 2'!$E$1:$E$99,,2),"")),"")</f>
        <v/>
      </c>
      <c r="J401" t="s">
        <v>134</v>
      </c>
      <c r="K401" s="40">
        <v>5.0999999999999996</v>
      </c>
    </row>
    <row r="402" spans="1:11" ht="14.25" customHeight="1" x14ac:dyDescent="0.35">
      <c r="A402">
        <v>401</v>
      </c>
      <c r="B402">
        <v>52401</v>
      </c>
      <c r="C402" t="s">
        <v>192</v>
      </c>
      <c r="D402" t="s">
        <v>16</v>
      </c>
      <c r="E402" s="36" t="s">
        <v>282</v>
      </c>
      <c r="F402" s="36" t="s">
        <v>429</v>
      </c>
      <c r="G402" s="40">
        <v>2</v>
      </c>
      <c r="H402" s="40" t="s">
        <v>406</v>
      </c>
      <c r="I402" t="str">
        <f>IF(H402="Track 5 Day 2",IFERROR(_xlfn.XLOOKUP("*"&amp;LEFT(C402,FIND(" ",C402&amp;" ")-1)&amp;"*",'[1]Track 5 Day 2'!$C$1:$C$99,'[1]Track 5 Day 2'!$A$1:$A$99,,2),IFERROR(_xlfn.XLOOKUP("*"&amp;LEFT(C402,FIND(" ",C402&amp;" ")-1)&amp;"*",'[1]Track 5 Day 2'!$G$1:$G$99,'[1]Track 5 Day 2'!$E$1:$E$99,,2),"")),"")</f>
        <v>11:20 - 11:26</v>
      </c>
      <c r="J402" s="36" t="s">
        <v>848</v>
      </c>
      <c r="K402" s="40">
        <v>5.0999999999999996</v>
      </c>
    </row>
    <row r="403" spans="1:11" ht="14.25" customHeight="1" x14ac:dyDescent="0.35">
      <c r="A403">
        <v>402</v>
      </c>
      <c r="B403">
        <v>52402</v>
      </c>
      <c r="C403" t="s">
        <v>430</v>
      </c>
      <c r="D403" t="s">
        <v>16</v>
      </c>
      <c r="E403" s="36" t="s">
        <v>282</v>
      </c>
      <c r="F403" s="36" t="s">
        <v>429</v>
      </c>
      <c r="G403" s="40">
        <v>2</v>
      </c>
      <c r="H403" s="40" t="s">
        <v>406</v>
      </c>
      <c r="I403" t="str">
        <f>IF(H403="Track 5 Day 2",IFERROR(_xlfn.XLOOKUP("*"&amp;LEFT(C403,FIND(" ",C403&amp;" ")-1)&amp;"*",'[1]Track 5 Day 2'!$C$1:$C$99,'[1]Track 5 Day 2'!$A$1:$A$99,,2),IFERROR(_xlfn.XLOOKUP("*"&amp;LEFT(C403,FIND(" ",C403&amp;" ")-1)&amp;"*",'[1]Track 5 Day 2'!$G$1:$G$99,'[1]Track 5 Day 2'!$E$1:$E$99,,2),"")),"")</f>
        <v>11:27 - 11:32</v>
      </c>
      <c r="J403" s="36" t="s">
        <v>849</v>
      </c>
      <c r="K403" s="40">
        <v>5.0999999999999996</v>
      </c>
    </row>
    <row r="404" spans="1:11" ht="14.25" customHeight="1" x14ac:dyDescent="0.35">
      <c r="A404">
        <v>403</v>
      </c>
      <c r="B404">
        <v>52403</v>
      </c>
      <c r="C404" t="s">
        <v>431</v>
      </c>
      <c r="D404" t="s">
        <v>119</v>
      </c>
      <c r="E404" s="36" t="s">
        <v>282</v>
      </c>
      <c r="F404" s="36" t="s">
        <v>429</v>
      </c>
      <c r="G404" s="40">
        <v>2</v>
      </c>
      <c r="H404" s="40" t="s">
        <v>406</v>
      </c>
      <c r="I404" t="str">
        <f>IF(H404="Track 5 Day 2",IFERROR(_xlfn.XLOOKUP("*"&amp;LEFT(C404,FIND(" ",C404&amp;" ")-1)&amp;"*",'[1]Track 5 Day 2'!$C$1:$C$99,'[1]Track 5 Day 2'!$A$1:$A$99,,2),IFERROR(_xlfn.XLOOKUP("*"&amp;LEFT(C404,FIND(" ",C404&amp;" ")-1)&amp;"*",'[1]Track 5 Day 2'!$G$1:$G$99,'[1]Track 5 Day 2'!$E$1:$E$99,,2),"")),"")</f>
        <v>11:33 - 11:38</v>
      </c>
      <c r="J404" s="36" t="s">
        <v>850</v>
      </c>
      <c r="K404" s="40">
        <v>5.0999999999999996</v>
      </c>
    </row>
    <row r="405" spans="1:11" ht="14.25" customHeight="1" x14ac:dyDescent="0.35">
      <c r="A405">
        <v>404</v>
      </c>
      <c r="B405">
        <v>52404</v>
      </c>
      <c r="C405" t="s">
        <v>368</v>
      </c>
      <c r="D405" t="s">
        <v>22</v>
      </c>
      <c r="E405" s="36" t="s">
        <v>282</v>
      </c>
      <c r="F405" s="36" t="s">
        <v>429</v>
      </c>
      <c r="G405" s="40">
        <v>2</v>
      </c>
      <c r="H405" s="40" t="s">
        <v>406</v>
      </c>
      <c r="I405" t="str">
        <f>IF(H405="Track 5 Day 2",IFERROR(_xlfn.XLOOKUP("*"&amp;LEFT(C405,FIND(" ",C405&amp;" ")-1)&amp;"*",'[1]Track 5 Day 2'!$C$1:$C$99,'[1]Track 5 Day 2'!$A$1:$A$99,,2),IFERROR(_xlfn.XLOOKUP("*"&amp;LEFT(C405,FIND(" ",C405&amp;" ")-1)&amp;"*",'[1]Track 5 Day 2'!$G$1:$G$99,'[1]Track 5 Day 2'!$E$1:$E$99,,2),"")),"")</f>
        <v>11:39 - 11:44</v>
      </c>
      <c r="J405" s="34" t="s">
        <v>851</v>
      </c>
      <c r="K405" s="40">
        <v>5.0999999999999996</v>
      </c>
    </row>
    <row r="406" spans="1:11" ht="14.25" customHeight="1" x14ac:dyDescent="0.35">
      <c r="A406">
        <v>405</v>
      </c>
      <c r="B406">
        <v>52405</v>
      </c>
      <c r="C406" t="s">
        <v>432</v>
      </c>
      <c r="D406" t="s">
        <v>18</v>
      </c>
      <c r="E406" s="36" t="s">
        <v>282</v>
      </c>
      <c r="F406" s="36" t="s">
        <v>429</v>
      </c>
      <c r="G406" s="40">
        <v>2</v>
      </c>
      <c r="H406" s="40" t="s">
        <v>406</v>
      </c>
      <c r="I406" t="str">
        <f>IF(H406="Track 5 Day 2",IFERROR(_xlfn.XLOOKUP("*"&amp;LEFT(C406,FIND(" ",C406&amp;" ")-1)&amp;"*",'[1]Track 5 Day 2'!$C$1:$C$99,'[1]Track 5 Day 2'!$A$1:$A$99,,2),IFERROR(_xlfn.XLOOKUP("*"&amp;LEFT(C406,FIND(" ",C406&amp;" ")-1)&amp;"*",'[1]Track 5 Day 2'!$G$1:$G$99,'[1]Track 5 Day 2'!$E$1:$E$99,,2),"")),"")</f>
        <v>11:45 - 11:50</v>
      </c>
      <c r="J406" s="36" t="s">
        <v>852</v>
      </c>
      <c r="K406" s="40">
        <v>5.0999999999999996</v>
      </c>
    </row>
    <row r="407" spans="1:11" ht="14.25" customHeight="1" x14ac:dyDescent="0.35">
      <c r="A407">
        <v>406</v>
      </c>
      <c r="B407">
        <v>52406</v>
      </c>
      <c r="C407" t="s">
        <v>433</v>
      </c>
      <c r="D407" t="s">
        <v>16</v>
      </c>
      <c r="E407" s="36" t="s">
        <v>282</v>
      </c>
      <c r="F407" s="36" t="s">
        <v>429</v>
      </c>
      <c r="G407" s="40">
        <v>2</v>
      </c>
      <c r="H407" s="40" t="s">
        <v>406</v>
      </c>
      <c r="I407" t="str">
        <f>IF(H407="Track 5 Day 2",IFERROR(_xlfn.XLOOKUP("*"&amp;LEFT(C407,FIND(" ",C407&amp;" ")-1)&amp;"*",'[1]Track 5 Day 2'!$C$1:$C$99,'[1]Track 5 Day 2'!$A$1:$A$99,,2),IFERROR(_xlfn.XLOOKUP("*"&amp;LEFT(C407,FIND(" ",C407&amp;" ")-1)&amp;"*",'[1]Track 5 Day 2'!$G$1:$G$99,'[1]Track 5 Day 2'!$E$1:$E$99,,2),"")),"")</f>
        <v>11:51 - 11:56</v>
      </c>
      <c r="J407" s="36" t="s">
        <v>853</v>
      </c>
      <c r="K407" s="40">
        <v>5.0999999999999996</v>
      </c>
    </row>
    <row r="408" spans="1:11" ht="14.25" customHeight="1" x14ac:dyDescent="0.35">
      <c r="A408">
        <v>407</v>
      </c>
      <c r="B408">
        <v>52407</v>
      </c>
      <c r="C408" t="s">
        <v>192</v>
      </c>
      <c r="D408" t="s">
        <v>16</v>
      </c>
      <c r="E408" s="36" t="s">
        <v>282</v>
      </c>
      <c r="F408" s="36" t="s">
        <v>429</v>
      </c>
      <c r="G408" s="40">
        <v>2</v>
      </c>
      <c r="H408" s="40" t="s">
        <v>406</v>
      </c>
      <c r="I408" t="str">
        <f>IF(H408="Track 5 Day 2",IFERROR(_xlfn.XLOOKUP("*"&amp;LEFT(C408,FIND(" ",C408&amp;" ")-1)&amp;"*",'[1]Track 5 Day 2'!$C$1:$C$99,'[1]Track 5 Day 2'!$A$1:$A$99,,2),IFERROR(_xlfn.XLOOKUP("*"&amp;LEFT(C408,FIND(" ",C408&amp;" ")-1)&amp;"*",'[1]Track 5 Day 2'!$G$1:$G$99,'[1]Track 5 Day 2'!$E$1:$E$99,,2),"")),"")</f>
        <v>11:20 - 11:26</v>
      </c>
      <c r="J408" s="36" t="s">
        <v>848</v>
      </c>
      <c r="K408" s="40">
        <v>5.0999999999999996</v>
      </c>
    </row>
    <row r="409" spans="1:11" ht="14.25" customHeight="1" x14ac:dyDescent="0.35">
      <c r="A409">
        <v>408</v>
      </c>
      <c r="B409">
        <v>52408</v>
      </c>
      <c r="C409" t="s">
        <v>434</v>
      </c>
      <c r="D409" t="s">
        <v>39</v>
      </c>
      <c r="E409" s="36" t="s">
        <v>282</v>
      </c>
      <c r="F409" s="36" t="s">
        <v>429</v>
      </c>
      <c r="G409" s="40">
        <v>2</v>
      </c>
      <c r="H409" s="40" t="s">
        <v>406</v>
      </c>
      <c r="I409" t="str">
        <f>IF(H409="Track 5 Day 2",IFERROR(_xlfn.XLOOKUP("*"&amp;LEFT(C409,FIND(" ",C409&amp;" ")-1)&amp;"*",'[1]Track 5 Day 2'!$C$1:$C$99,'[1]Track 5 Day 2'!$A$1:$A$99,,2),IFERROR(_xlfn.XLOOKUP("*"&amp;LEFT(C409,FIND(" ",C409&amp;" ")-1)&amp;"*",'[1]Track 5 Day 2'!$G$1:$G$99,'[1]Track 5 Day 2'!$E$1:$E$99,,2),"")),"")</f>
        <v>12:03 - 12:08</v>
      </c>
      <c r="J409" s="36" t="s">
        <v>854</v>
      </c>
      <c r="K409" s="40">
        <v>5.0999999999999996</v>
      </c>
    </row>
    <row r="410" spans="1:11" ht="14.25" customHeight="1" x14ac:dyDescent="0.35">
      <c r="A410">
        <v>409</v>
      </c>
      <c r="B410">
        <v>52409</v>
      </c>
      <c r="C410" t="s">
        <v>432</v>
      </c>
      <c r="D410" t="s">
        <v>18</v>
      </c>
      <c r="E410" s="36" t="s">
        <v>282</v>
      </c>
      <c r="F410" s="36" t="s">
        <v>429</v>
      </c>
      <c r="G410" s="40">
        <v>2</v>
      </c>
      <c r="H410" s="40" t="s">
        <v>406</v>
      </c>
      <c r="I410" t="str">
        <f>IF(H410="Track 5 Day 2",IFERROR(_xlfn.XLOOKUP("*"&amp;LEFT(C410,FIND(" ",C410&amp;" ")-1)&amp;"*",'[1]Track 5 Day 2'!$C$1:$C$99,'[1]Track 5 Day 2'!$A$1:$A$99,,2),IFERROR(_xlfn.XLOOKUP("*"&amp;LEFT(C410,FIND(" ",C410&amp;" ")-1)&amp;"*",'[1]Track 5 Day 2'!$G$1:$G$99,'[1]Track 5 Day 2'!$E$1:$E$99,,2),"")),"")</f>
        <v>11:45 - 11:50</v>
      </c>
      <c r="J410" s="36" t="s">
        <v>852</v>
      </c>
      <c r="K410" s="40">
        <v>5.0999999999999996</v>
      </c>
    </row>
    <row r="411" spans="1:11" ht="14.25" customHeight="1" x14ac:dyDescent="0.35">
      <c r="A411">
        <v>410</v>
      </c>
      <c r="B411">
        <v>52410</v>
      </c>
      <c r="C411" t="s">
        <v>435</v>
      </c>
      <c r="D411" t="s">
        <v>16</v>
      </c>
      <c r="E411" s="36" t="s">
        <v>282</v>
      </c>
      <c r="F411" s="36" t="s">
        <v>429</v>
      </c>
      <c r="G411" s="40">
        <v>2</v>
      </c>
      <c r="H411" s="40" t="s">
        <v>406</v>
      </c>
      <c r="I411" t="str">
        <f>IF(H411="Track 5 Day 2",IFERROR(_xlfn.XLOOKUP("*"&amp;LEFT(C411,FIND(" ",C411&amp;" ")-1)&amp;"*",'[1]Track 5 Day 2'!$C$1:$C$99,'[1]Track 5 Day 2'!$A$1:$A$99,,2),IFERROR(_xlfn.XLOOKUP("*"&amp;LEFT(C411,FIND(" ",C411&amp;" ")-1)&amp;"*",'[1]Track 5 Day 2'!$G$1:$G$99,'[1]Track 5 Day 2'!$E$1:$E$99,,2),"")),"")</f>
        <v>12:15 - 12:20</v>
      </c>
      <c r="J411" s="36" t="s">
        <v>855</v>
      </c>
      <c r="K411" s="40">
        <v>5.0999999999999996</v>
      </c>
    </row>
    <row r="412" spans="1:11" ht="14.25" customHeight="1" x14ac:dyDescent="0.35">
      <c r="A412">
        <v>411</v>
      </c>
      <c r="B412">
        <v>52411</v>
      </c>
      <c r="C412" t="s">
        <v>436</v>
      </c>
      <c r="D412" t="s">
        <v>94</v>
      </c>
      <c r="E412" s="36" t="s">
        <v>277</v>
      </c>
      <c r="F412" s="36" t="s">
        <v>437</v>
      </c>
      <c r="G412" s="40">
        <v>2</v>
      </c>
      <c r="H412" s="40" t="s">
        <v>406</v>
      </c>
      <c r="I412" t="str">
        <f>IF(H412="Track 5 Day 2",IFERROR(_xlfn.XLOOKUP("*"&amp;LEFT(C412,FIND(" ",C412&amp;" ")-1)&amp;"*",'[1]Track 5 Day 2'!$C$1:$C$99,'[1]Track 5 Day 2'!$A$1:$A$99,,2),IFERROR(_xlfn.XLOOKUP("*"&amp;LEFT(C412,FIND(" ",C412&amp;" ")-1)&amp;"*",'[1]Track 5 Day 2'!$G$1:$G$99,'[1]Track 5 Day 2'!$E$1:$E$99,,2),"")),"")</f>
        <v/>
      </c>
      <c r="J412" s="36" t="s">
        <v>134</v>
      </c>
      <c r="K412" s="40">
        <v>5.0999999999999996</v>
      </c>
    </row>
    <row r="413" spans="1:11" ht="14.25" customHeight="1" x14ac:dyDescent="0.35">
      <c r="A413">
        <v>412</v>
      </c>
      <c r="B413">
        <v>52412</v>
      </c>
      <c r="C413" s="13" t="s">
        <v>44</v>
      </c>
      <c r="D413" t="s">
        <v>39</v>
      </c>
      <c r="E413" s="36" t="s">
        <v>277</v>
      </c>
      <c r="F413" s="36" t="s">
        <v>437</v>
      </c>
      <c r="G413" s="40">
        <v>2</v>
      </c>
      <c r="H413" s="40" t="s">
        <v>406</v>
      </c>
      <c r="I413" t="str">
        <f>IF(H413="Track 5 Day 2",IFERROR(_xlfn.XLOOKUP("*"&amp;LEFT(C413,FIND(" ",C413&amp;" ")-1)&amp;"*",'[1]Track 5 Day 2'!$C$1:$C$99,'[1]Track 5 Day 2'!$A$1:$A$99,,2),IFERROR(_xlfn.XLOOKUP("*"&amp;LEFT(C413,FIND(" ",C413&amp;" ")-1)&amp;"*",'[1]Track 5 Day 2'!$G$1:$G$99,'[1]Track 5 Day 2'!$E$1:$E$99,,2),"")),"")</f>
        <v/>
      </c>
      <c r="J413" t="s">
        <v>134</v>
      </c>
      <c r="K413" s="40">
        <v>5.0999999999999996</v>
      </c>
    </row>
    <row r="414" spans="1:11" ht="14.25" customHeight="1" x14ac:dyDescent="0.35">
      <c r="A414">
        <v>413</v>
      </c>
      <c r="B414">
        <v>52413</v>
      </c>
      <c r="C414" t="s">
        <v>168</v>
      </c>
      <c r="D414" t="s">
        <v>169</v>
      </c>
      <c r="E414" s="36" t="s">
        <v>282</v>
      </c>
      <c r="F414" s="36" t="s">
        <v>437</v>
      </c>
      <c r="G414" s="40">
        <v>2</v>
      </c>
      <c r="H414" s="40" t="s">
        <v>406</v>
      </c>
      <c r="I414" t="str">
        <f>IF(H414="Track 5 Day 2",IFERROR(_xlfn.XLOOKUP("*"&amp;LEFT(C414,FIND(" ",C414&amp;" ")-1)&amp;"*",'[1]Track 5 Day 2'!$C$1:$C$99,'[1]Track 5 Day 2'!$A$1:$A$99,,2),IFERROR(_xlfn.XLOOKUP("*"&amp;LEFT(C414,FIND(" ",C414&amp;" ")-1)&amp;"*",'[1]Track 5 Day 2'!$G$1:$G$99,'[1]Track 5 Day 2'!$E$1:$E$99,,2),"")),"")</f>
        <v>12:30 - 12:36</v>
      </c>
      <c r="J414" s="36" t="s">
        <v>856</v>
      </c>
      <c r="K414" s="40">
        <v>5.0999999999999996</v>
      </c>
    </row>
    <row r="415" spans="1:11" ht="14.25" customHeight="1" x14ac:dyDescent="0.35">
      <c r="A415">
        <v>414</v>
      </c>
      <c r="B415">
        <v>52414</v>
      </c>
      <c r="C415" t="s">
        <v>438</v>
      </c>
      <c r="D415" t="s">
        <v>439</v>
      </c>
      <c r="E415" s="36" t="s">
        <v>282</v>
      </c>
      <c r="F415" s="36" t="s">
        <v>437</v>
      </c>
      <c r="G415" s="40">
        <v>2</v>
      </c>
      <c r="H415" s="40" t="s">
        <v>406</v>
      </c>
      <c r="I415" t="str">
        <f>IF(H415="Track 5 Day 2",IFERROR(_xlfn.XLOOKUP("*"&amp;LEFT(C415,FIND(" ",C415&amp;" ")-1)&amp;"*",'[1]Track 5 Day 2'!$C$1:$C$99,'[1]Track 5 Day 2'!$A$1:$A$99,,2),IFERROR(_xlfn.XLOOKUP("*"&amp;LEFT(C415,FIND(" ",C415&amp;" ")-1)&amp;"*",'[1]Track 5 Day 2'!$G$1:$G$99,'[1]Track 5 Day 2'!$E$1:$E$99,,2),"")),"")</f>
        <v>12:37 - 12:42</v>
      </c>
      <c r="J415" s="36" t="s">
        <v>857</v>
      </c>
      <c r="K415" s="40">
        <v>5.0999999999999996</v>
      </c>
    </row>
    <row r="416" spans="1:11" ht="14.25" customHeight="1" x14ac:dyDescent="0.35">
      <c r="A416">
        <v>415</v>
      </c>
      <c r="B416">
        <v>52415</v>
      </c>
      <c r="C416" t="s">
        <v>440</v>
      </c>
      <c r="D416" t="s">
        <v>441</v>
      </c>
      <c r="E416" s="36" t="s">
        <v>282</v>
      </c>
      <c r="F416" s="36" t="s">
        <v>437</v>
      </c>
      <c r="G416" s="40">
        <v>2</v>
      </c>
      <c r="H416" s="40" t="s">
        <v>406</v>
      </c>
      <c r="I416" t="str">
        <f>IF(H416="Track 5 Day 2",IFERROR(_xlfn.XLOOKUP("*"&amp;LEFT(C416,FIND(" ",C416&amp;" ")-1)&amp;"*",'[1]Track 5 Day 2'!$C$1:$C$99,'[1]Track 5 Day 2'!$A$1:$A$99,,2),IFERROR(_xlfn.XLOOKUP("*"&amp;LEFT(C416,FIND(" ",C416&amp;" ")-1)&amp;"*",'[1]Track 5 Day 2'!$G$1:$G$99,'[1]Track 5 Day 2'!$E$1:$E$99,,2),"")),"")</f>
        <v>12:43 - 12:48</v>
      </c>
      <c r="J416" s="36" t="s">
        <v>858</v>
      </c>
      <c r="K416" s="40">
        <v>5.0999999999999996</v>
      </c>
    </row>
    <row r="417" spans="1:11" ht="14.25" customHeight="1" x14ac:dyDescent="0.35">
      <c r="A417">
        <v>416</v>
      </c>
      <c r="B417">
        <v>52416</v>
      </c>
      <c r="C417" t="s">
        <v>246</v>
      </c>
      <c r="D417" t="s">
        <v>247</v>
      </c>
      <c r="E417" s="36" t="s">
        <v>282</v>
      </c>
      <c r="F417" s="36" t="s">
        <v>437</v>
      </c>
      <c r="G417" s="40">
        <v>2</v>
      </c>
      <c r="H417" s="40" t="s">
        <v>406</v>
      </c>
      <c r="I417" t="str">
        <f>IF(H417="Track 5 Day 2",IFERROR(_xlfn.XLOOKUP("*"&amp;LEFT(C417,FIND(" ",C417&amp;" ")-1)&amp;"*",'[1]Track 5 Day 2'!$C$1:$C$99,'[1]Track 5 Day 2'!$A$1:$A$99,,2),IFERROR(_xlfn.XLOOKUP("*"&amp;LEFT(C417,FIND(" ",C417&amp;" ")-1)&amp;"*",'[1]Track 5 Day 2'!$G$1:$G$99,'[1]Track 5 Day 2'!$E$1:$E$99,,2),"")),"")</f>
        <v>12:49 - 12:54</v>
      </c>
      <c r="J417" s="36" t="s">
        <v>859</v>
      </c>
      <c r="K417" s="40">
        <v>5.0999999999999996</v>
      </c>
    </row>
    <row r="418" spans="1:11" ht="14.25" customHeight="1" x14ac:dyDescent="0.35">
      <c r="A418">
        <v>417</v>
      </c>
      <c r="B418">
        <v>52417</v>
      </c>
      <c r="C418" t="s">
        <v>442</v>
      </c>
      <c r="D418" t="s">
        <v>18</v>
      </c>
      <c r="E418" s="36" t="s">
        <v>282</v>
      </c>
      <c r="F418" s="36" t="s">
        <v>437</v>
      </c>
      <c r="G418" s="40">
        <v>2</v>
      </c>
      <c r="H418" s="40" t="s">
        <v>406</v>
      </c>
      <c r="I418" t="str">
        <f>IF(H418="Track 5 Day 2",IFERROR(_xlfn.XLOOKUP("*"&amp;LEFT(C418,FIND(" ",C418&amp;" ")-1)&amp;"*",'[1]Track 5 Day 2'!$C$1:$C$99,'[1]Track 5 Day 2'!$A$1:$A$99,,2),IFERROR(_xlfn.XLOOKUP("*"&amp;LEFT(C418,FIND(" ",C418&amp;" ")-1)&amp;"*",'[1]Track 5 Day 2'!$G$1:$G$99,'[1]Track 5 Day 2'!$E$1:$E$99,,2),"")),"")</f>
        <v>11:39 - 11:44</v>
      </c>
      <c r="J418" s="36" t="s">
        <v>851</v>
      </c>
      <c r="K418" s="40">
        <v>5.0999999999999996</v>
      </c>
    </row>
    <row r="419" spans="1:11" ht="14.25" customHeight="1" x14ac:dyDescent="0.35">
      <c r="A419">
        <v>418</v>
      </c>
      <c r="B419">
        <v>52418</v>
      </c>
      <c r="C419" t="s">
        <v>443</v>
      </c>
      <c r="D419" t="s">
        <v>245</v>
      </c>
      <c r="E419" s="36" t="s">
        <v>282</v>
      </c>
      <c r="F419" s="36" t="s">
        <v>437</v>
      </c>
      <c r="G419" s="40">
        <v>2</v>
      </c>
      <c r="H419" s="40" t="s">
        <v>406</v>
      </c>
      <c r="I419" t="str">
        <f>IF(H419="Track 5 Day 2",IFERROR(_xlfn.XLOOKUP("*"&amp;LEFT(C419,FIND(" ",C419&amp;" ")-1)&amp;"*",'[1]Track 5 Day 2'!$C$1:$C$99,'[1]Track 5 Day 2'!$A$1:$A$99,,2),IFERROR(_xlfn.XLOOKUP("*"&amp;LEFT(C419,FIND(" ",C419&amp;" ")-1)&amp;"*",'[1]Track 5 Day 2'!$G$1:$G$99,'[1]Track 5 Day 2'!$E$1:$E$99,,2),"")),"")</f>
        <v>13:01 - 13:06</v>
      </c>
      <c r="J419" s="36" t="s">
        <v>860</v>
      </c>
      <c r="K419" s="40">
        <v>5.0999999999999996</v>
      </c>
    </row>
    <row r="420" spans="1:11" ht="14.25" customHeight="1" x14ac:dyDescent="0.35">
      <c r="A420">
        <v>419</v>
      </c>
      <c r="B420">
        <v>52419</v>
      </c>
      <c r="C420" t="s">
        <v>444</v>
      </c>
      <c r="D420" t="s">
        <v>18</v>
      </c>
      <c r="E420" s="36" t="s">
        <v>282</v>
      </c>
      <c r="F420" s="36" t="s">
        <v>437</v>
      </c>
      <c r="G420" s="40">
        <v>2</v>
      </c>
      <c r="H420" s="40" t="s">
        <v>406</v>
      </c>
      <c r="I420" t="str">
        <f>IF(H420="Track 5 Day 2",IFERROR(_xlfn.XLOOKUP("*"&amp;LEFT(C420,FIND(" ",C420&amp;" ")-1)&amp;"*",'[1]Track 5 Day 2'!$C$1:$C$99,'[1]Track 5 Day 2'!$A$1:$A$99,,2),IFERROR(_xlfn.XLOOKUP("*"&amp;LEFT(C420,FIND(" ",C420&amp;" ")-1)&amp;"*",'[1]Track 5 Day 2'!$G$1:$G$99,'[1]Track 5 Day 2'!$E$1:$E$99,,2),"")),"")</f>
        <v>13:07 - 13:12</v>
      </c>
      <c r="J420" s="36" t="s">
        <v>861</v>
      </c>
      <c r="K420" s="40">
        <v>5.0999999999999996</v>
      </c>
    </row>
    <row r="421" spans="1:11" ht="14.25" customHeight="1" x14ac:dyDescent="0.35">
      <c r="A421">
        <v>420</v>
      </c>
      <c r="B421">
        <v>52420</v>
      </c>
      <c r="C421" t="s">
        <v>445</v>
      </c>
      <c r="D421" t="s">
        <v>18</v>
      </c>
      <c r="E421" s="36" t="s">
        <v>282</v>
      </c>
      <c r="F421" s="36" t="s">
        <v>437</v>
      </c>
      <c r="G421" s="40">
        <v>2</v>
      </c>
      <c r="H421" s="40" t="s">
        <v>406</v>
      </c>
      <c r="I421" t="str">
        <f>IF(H421="Track 5 Day 2",IFERROR(_xlfn.XLOOKUP("*"&amp;LEFT(C421,FIND(" ",C421&amp;" ")-1)&amp;"*",'[1]Track 5 Day 2'!$C$1:$C$99,'[1]Track 5 Day 2'!$A$1:$A$99,,2),IFERROR(_xlfn.XLOOKUP("*"&amp;LEFT(C421,FIND(" ",C421&amp;" ")-1)&amp;"*",'[1]Track 5 Day 2'!$G$1:$G$99,'[1]Track 5 Day 2'!$E$1:$E$99,,2),"")),"")</f>
        <v>13:13 - 13:18</v>
      </c>
      <c r="J421" s="36" t="s">
        <v>862</v>
      </c>
      <c r="K421" s="40">
        <v>5.0999999999999996</v>
      </c>
    </row>
    <row r="422" spans="1:11" ht="14.25" customHeight="1" x14ac:dyDescent="0.35">
      <c r="A422">
        <v>421</v>
      </c>
      <c r="B422">
        <v>52421</v>
      </c>
      <c r="C422" t="s">
        <v>187</v>
      </c>
      <c r="D422" t="s">
        <v>188</v>
      </c>
      <c r="E422" s="36" t="s">
        <v>282</v>
      </c>
      <c r="F422" s="36" t="s">
        <v>437</v>
      </c>
      <c r="G422" s="40">
        <v>2</v>
      </c>
      <c r="H422" s="40" t="s">
        <v>406</v>
      </c>
      <c r="I422" t="str">
        <f>IF(H422="Track 5 Day 2",IFERROR(_xlfn.XLOOKUP("*"&amp;LEFT(C422,FIND(" ",C422&amp;" ")-1)&amp;"*",'[1]Track 5 Day 2'!$C$1:$C$99,'[1]Track 5 Day 2'!$A$1:$A$99,,2),IFERROR(_xlfn.XLOOKUP("*"&amp;LEFT(C422,FIND(" ",C422&amp;" ")-1)&amp;"*",'[1]Track 5 Day 2'!$G$1:$G$99,'[1]Track 5 Day 2'!$E$1:$E$99,,2),"")),"")</f>
        <v>13:19 - 13:24</v>
      </c>
      <c r="J422" s="36" t="s">
        <v>863</v>
      </c>
      <c r="K422" s="40">
        <v>5.0999999999999996</v>
      </c>
    </row>
    <row r="423" spans="1:11" ht="14.25" customHeight="1" x14ac:dyDescent="0.35">
      <c r="A423">
        <v>422</v>
      </c>
      <c r="B423">
        <v>52422</v>
      </c>
      <c r="C423" t="s">
        <v>139</v>
      </c>
      <c r="D423" t="s">
        <v>132</v>
      </c>
      <c r="E423" s="36" t="s">
        <v>277</v>
      </c>
      <c r="F423" s="36" t="s">
        <v>446</v>
      </c>
      <c r="G423" s="40">
        <v>2</v>
      </c>
      <c r="H423" s="40" t="s">
        <v>406</v>
      </c>
      <c r="I423" t="str">
        <f>IF(H423="Track 5 Day 2",IFERROR(_xlfn.XLOOKUP("*"&amp;LEFT(C423,FIND(" ",C423&amp;" ")-1)&amp;"*",'[1]Track 5 Day 2'!$C$1:$C$99,'[1]Track 5 Day 2'!$A$1:$A$99,,2),IFERROR(_xlfn.XLOOKUP("*"&amp;LEFT(C423,FIND(" ",C423&amp;" ")-1)&amp;"*",'[1]Track 5 Day 2'!$G$1:$G$99,'[1]Track 5 Day 2'!$E$1:$E$99,,2),"")),"")</f>
        <v/>
      </c>
      <c r="J423" s="30" t="s">
        <v>134</v>
      </c>
      <c r="K423" s="40">
        <v>5.2</v>
      </c>
    </row>
    <row r="424" spans="1:11" ht="14.25" customHeight="1" x14ac:dyDescent="0.35">
      <c r="A424">
        <v>423</v>
      </c>
      <c r="B424">
        <v>52423</v>
      </c>
      <c r="C424" t="s">
        <v>447</v>
      </c>
      <c r="D424" t="s">
        <v>439</v>
      </c>
      <c r="E424" s="36" t="s">
        <v>277</v>
      </c>
      <c r="F424" s="36" t="s">
        <v>446</v>
      </c>
      <c r="G424" s="40">
        <v>2</v>
      </c>
      <c r="H424" s="40" t="s">
        <v>406</v>
      </c>
      <c r="I424" t="str">
        <f>IF(H424="Track 5 Day 2",IFERROR(_xlfn.XLOOKUP("*"&amp;LEFT(C424,FIND(" ",C424&amp;" ")-1)&amp;"*",'[1]Track 5 Day 2'!$C$1:$C$99,'[1]Track 5 Day 2'!$A$1:$A$99,,2),IFERROR(_xlfn.XLOOKUP("*"&amp;LEFT(C424,FIND(" ",C424&amp;" ")-1)&amp;"*",'[1]Track 5 Day 2'!$G$1:$G$99,'[1]Track 5 Day 2'!$E$1:$E$99,,2),"")),"")</f>
        <v/>
      </c>
      <c r="J424" s="36" t="s">
        <v>134</v>
      </c>
      <c r="K424" s="40">
        <v>5.2</v>
      </c>
    </row>
    <row r="425" spans="1:11" ht="14.25" customHeight="1" x14ac:dyDescent="0.35">
      <c r="A425">
        <v>424</v>
      </c>
      <c r="B425">
        <v>52424</v>
      </c>
      <c r="C425" t="s">
        <v>448</v>
      </c>
      <c r="D425" t="s">
        <v>165</v>
      </c>
      <c r="E425" s="36" t="s">
        <v>282</v>
      </c>
      <c r="F425" s="36" t="s">
        <v>446</v>
      </c>
      <c r="G425" s="40">
        <v>2</v>
      </c>
      <c r="H425" s="40" t="s">
        <v>406</v>
      </c>
      <c r="I425" t="str">
        <f>IF(H425="Track 5 Day 2",IFERROR(_xlfn.XLOOKUP("*"&amp;LEFT(C425,FIND(" ",C425&amp;" ")-1)&amp;"*",'[1]Track 5 Day 2'!$C$1:$C$99,'[1]Track 5 Day 2'!$A$1:$A$99,,2),IFERROR(_xlfn.XLOOKUP("*"&amp;LEFT(C425,FIND(" ",C425&amp;" ")-1)&amp;"*",'[1]Track 5 Day 2'!$G$1:$G$99,'[1]Track 5 Day 2'!$E$1:$E$99,,2),"")),"")</f>
        <v>9:07 - 9:12</v>
      </c>
      <c r="J425" s="36" t="s">
        <v>830</v>
      </c>
      <c r="K425" s="40">
        <v>5.2</v>
      </c>
    </row>
    <row r="426" spans="1:11" ht="14.25" customHeight="1" x14ac:dyDescent="0.35">
      <c r="A426">
        <v>425</v>
      </c>
      <c r="B426">
        <v>52425</v>
      </c>
      <c r="C426" t="s">
        <v>449</v>
      </c>
      <c r="D426" t="s">
        <v>119</v>
      </c>
      <c r="E426" s="36" t="s">
        <v>282</v>
      </c>
      <c r="F426" s="36" t="s">
        <v>446</v>
      </c>
      <c r="G426" s="40">
        <v>2</v>
      </c>
      <c r="H426" s="40" t="s">
        <v>406</v>
      </c>
      <c r="I426" t="str">
        <f>IF(H426="Track 5 Day 2",IFERROR(_xlfn.XLOOKUP("*"&amp;LEFT(C426,FIND(" ",C426&amp;" ")-1)&amp;"*",'[1]Track 5 Day 2'!$C$1:$C$99,'[1]Track 5 Day 2'!$A$1:$A$99,,2),IFERROR(_xlfn.XLOOKUP("*"&amp;LEFT(C426,FIND(" ",C426&amp;" ")-1)&amp;"*",'[1]Track 5 Day 2'!$G$1:$G$99,'[1]Track 5 Day 2'!$E$1:$E$99,,2),"")),"")</f>
        <v>9:07 - 9:12</v>
      </c>
      <c r="J426" s="36" t="s">
        <v>864</v>
      </c>
      <c r="K426" s="40">
        <v>5.2</v>
      </c>
    </row>
    <row r="427" spans="1:11" ht="14.25" customHeight="1" x14ac:dyDescent="0.35">
      <c r="A427">
        <v>426</v>
      </c>
      <c r="B427">
        <v>52426</v>
      </c>
      <c r="C427" t="s">
        <v>450</v>
      </c>
      <c r="D427" t="s">
        <v>16</v>
      </c>
      <c r="E427" s="36" t="s">
        <v>282</v>
      </c>
      <c r="F427" s="36" t="s">
        <v>446</v>
      </c>
      <c r="G427" s="40">
        <v>2</v>
      </c>
      <c r="H427" s="40" t="s">
        <v>406</v>
      </c>
      <c r="I427" t="str">
        <f>IF(H427="Track 5 Day 2",IFERROR(_xlfn.XLOOKUP("*"&amp;LEFT(C427,FIND(" ",C427&amp;" ")-1)&amp;"*",'[1]Track 5 Day 2'!$C$1:$C$99,'[1]Track 5 Day 2'!$A$1:$A$99,,2),IFERROR(_xlfn.XLOOKUP("*"&amp;LEFT(C427,FIND(" ",C427&amp;" ")-1)&amp;"*",'[1]Track 5 Day 2'!$G$1:$G$99,'[1]Track 5 Day 2'!$E$1:$E$99,,2),"")),"")</f>
        <v>9:13 - 9:18</v>
      </c>
      <c r="J427" s="36" t="s">
        <v>865</v>
      </c>
      <c r="K427" s="40">
        <v>5.2</v>
      </c>
    </row>
    <row r="428" spans="1:11" ht="14.25" customHeight="1" x14ac:dyDescent="0.35">
      <c r="A428">
        <v>427</v>
      </c>
      <c r="B428">
        <v>52427</v>
      </c>
      <c r="C428" t="s">
        <v>451</v>
      </c>
      <c r="D428" t="s">
        <v>247</v>
      </c>
      <c r="E428" s="36" t="s">
        <v>282</v>
      </c>
      <c r="F428" s="36" t="s">
        <v>446</v>
      </c>
      <c r="G428" s="40">
        <v>2</v>
      </c>
      <c r="H428" s="40" t="s">
        <v>406</v>
      </c>
      <c r="I428" t="str">
        <f>IF(H428="Track 5 Day 2",IFERROR(_xlfn.XLOOKUP("*"&amp;LEFT(C428,FIND(" ",C428&amp;" ")-1)&amp;"*",'[1]Track 5 Day 2'!$C$1:$C$99,'[1]Track 5 Day 2'!$A$1:$A$99,,2),IFERROR(_xlfn.XLOOKUP("*"&amp;LEFT(C428,FIND(" ",C428&amp;" ")-1)&amp;"*",'[1]Track 5 Day 2'!$G$1:$G$99,'[1]Track 5 Day 2'!$E$1:$E$99,,2),"")),"")</f>
        <v>9:19 - 9:24</v>
      </c>
      <c r="J428" s="36" t="s">
        <v>866</v>
      </c>
      <c r="K428" s="40">
        <v>5.2</v>
      </c>
    </row>
    <row r="429" spans="1:11" ht="14.25" customHeight="1" x14ac:dyDescent="0.35">
      <c r="A429">
        <v>428</v>
      </c>
      <c r="B429">
        <v>52428</v>
      </c>
      <c r="C429" t="s">
        <v>452</v>
      </c>
      <c r="D429" t="s">
        <v>150</v>
      </c>
      <c r="E429" s="36" t="s">
        <v>282</v>
      </c>
      <c r="F429" s="36" t="s">
        <v>446</v>
      </c>
      <c r="G429" s="40">
        <v>2</v>
      </c>
      <c r="H429" s="40" t="s">
        <v>406</v>
      </c>
      <c r="I429" t="str">
        <f>IF(H429="Track 5 Day 2",IFERROR(_xlfn.XLOOKUP("*"&amp;LEFT(C429,FIND(" ",C429&amp;" ")-1)&amp;"*",'[1]Track 5 Day 2'!$C$1:$C$99,'[1]Track 5 Day 2'!$A$1:$A$99,,2),IFERROR(_xlfn.XLOOKUP("*"&amp;LEFT(C429,FIND(" ",C429&amp;" ")-1)&amp;"*",'[1]Track 5 Day 2'!$G$1:$G$99,'[1]Track 5 Day 2'!$E$1:$E$99,,2),"")),"")</f>
        <v>9:25 - 9:30</v>
      </c>
      <c r="J429" s="36" t="s">
        <v>867</v>
      </c>
      <c r="K429" s="40">
        <v>5.2</v>
      </c>
    </row>
    <row r="430" spans="1:11" ht="14.25" customHeight="1" x14ac:dyDescent="0.35">
      <c r="A430">
        <v>429</v>
      </c>
      <c r="B430">
        <v>52429</v>
      </c>
      <c r="C430" t="s">
        <v>375</v>
      </c>
      <c r="D430" t="s">
        <v>376</v>
      </c>
      <c r="E430" s="36" t="s">
        <v>282</v>
      </c>
      <c r="F430" s="36" t="s">
        <v>446</v>
      </c>
      <c r="G430" s="40">
        <v>2</v>
      </c>
      <c r="H430" s="40" t="s">
        <v>406</v>
      </c>
      <c r="I430" t="str">
        <f>IF(H430="Track 5 Day 2",IFERROR(_xlfn.XLOOKUP("*"&amp;LEFT(C430,FIND(" ",C430&amp;" ")-1)&amp;"*",'[1]Track 5 Day 2'!$C$1:$C$99,'[1]Track 5 Day 2'!$A$1:$A$99,,2),IFERROR(_xlfn.XLOOKUP("*"&amp;LEFT(C430,FIND(" ",C430&amp;" ")-1)&amp;"*",'[1]Track 5 Day 2'!$G$1:$G$99,'[1]Track 5 Day 2'!$E$1:$E$99,,2),"")),"")</f>
        <v>9:31 - 9:36</v>
      </c>
      <c r="J430" s="36" t="s">
        <v>868</v>
      </c>
      <c r="K430" s="40">
        <v>5.2</v>
      </c>
    </row>
    <row r="431" spans="1:11" ht="14.25" customHeight="1" x14ac:dyDescent="0.35">
      <c r="A431">
        <v>430</v>
      </c>
      <c r="B431">
        <v>52430</v>
      </c>
      <c r="C431" t="s">
        <v>453</v>
      </c>
      <c r="D431" t="s">
        <v>235</v>
      </c>
      <c r="E431" s="36" t="s">
        <v>282</v>
      </c>
      <c r="F431" s="36" t="s">
        <v>446</v>
      </c>
      <c r="G431" s="40">
        <v>2</v>
      </c>
      <c r="H431" s="40" t="s">
        <v>406</v>
      </c>
      <c r="I431" t="str">
        <f>IF(H431="Track 5 Day 2",IFERROR(_xlfn.XLOOKUP("*"&amp;LEFT(C431,FIND(" ",C431&amp;" ")-1)&amp;"*",'[1]Track 5 Day 2'!$C$1:$C$99,'[1]Track 5 Day 2'!$A$1:$A$99,,2),IFERROR(_xlfn.XLOOKUP("*"&amp;LEFT(C431,FIND(" ",C431&amp;" ")-1)&amp;"*",'[1]Track 5 Day 2'!$G$1:$G$99,'[1]Track 5 Day 2'!$E$1:$E$99,,2),"")),"")</f>
        <v>9:37 - 9:42</v>
      </c>
      <c r="J431" s="36" t="s">
        <v>869</v>
      </c>
      <c r="K431" s="40">
        <v>5.2</v>
      </c>
    </row>
    <row r="432" spans="1:11" ht="14.25" customHeight="1" x14ac:dyDescent="0.35">
      <c r="A432">
        <v>431</v>
      </c>
      <c r="B432">
        <v>52431</v>
      </c>
      <c r="C432" t="s">
        <v>454</v>
      </c>
      <c r="D432" t="s">
        <v>18</v>
      </c>
      <c r="E432" s="36" t="s">
        <v>282</v>
      </c>
      <c r="F432" s="36" t="s">
        <v>446</v>
      </c>
      <c r="G432" s="40">
        <v>2</v>
      </c>
      <c r="H432" s="40" t="s">
        <v>406</v>
      </c>
      <c r="I432" t="str">
        <f>IF(H432="Track 5 Day 2",IFERROR(_xlfn.XLOOKUP("*"&amp;LEFT(C432,FIND(" ",C432&amp;" ")-1)&amp;"*",'[1]Track 5 Day 2'!$C$1:$C$99,'[1]Track 5 Day 2'!$A$1:$A$99,,2),IFERROR(_xlfn.XLOOKUP("*"&amp;LEFT(C432,FIND(" ",C432&amp;" ")-1)&amp;"*",'[1]Track 5 Day 2'!$G$1:$G$99,'[1]Track 5 Day 2'!$E$1:$E$99,,2),"")),"")</f>
        <v>9:43 - 9:48</v>
      </c>
      <c r="J432" s="36" t="s">
        <v>870</v>
      </c>
      <c r="K432" s="40">
        <v>5.2</v>
      </c>
    </row>
    <row r="433" spans="1:11" ht="14.25" customHeight="1" x14ac:dyDescent="0.35">
      <c r="A433">
        <v>432</v>
      </c>
      <c r="B433">
        <v>52432</v>
      </c>
      <c r="C433" t="s">
        <v>455</v>
      </c>
      <c r="D433" t="s">
        <v>333</v>
      </c>
      <c r="E433" s="36" t="s">
        <v>282</v>
      </c>
      <c r="F433" s="36" t="s">
        <v>446</v>
      </c>
      <c r="G433" s="40">
        <v>2</v>
      </c>
      <c r="H433" s="40" t="s">
        <v>406</v>
      </c>
      <c r="I433" t="str">
        <f>IF(H433="Track 5 Day 2",IFERROR(_xlfn.XLOOKUP("*"&amp;LEFT(C433,FIND(" ",C433&amp;" ")-1)&amp;"*",'[1]Track 5 Day 2'!$C$1:$C$99,'[1]Track 5 Day 2'!$A$1:$A$99,,2),IFERROR(_xlfn.XLOOKUP("*"&amp;LEFT(C433,FIND(" ",C433&amp;" ")-1)&amp;"*",'[1]Track 5 Day 2'!$G$1:$G$99,'[1]Track 5 Day 2'!$E$1:$E$99,,2),"")),"")</f>
        <v>9:49 - 9:54</v>
      </c>
      <c r="J433" s="36" t="s">
        <v>871</v>
      </c>
      <c r="K433" s="40">
        <v>5.2</v>
      </c>
    </row>
    <row r="434" spans="1:11" ht="14.25" customHeight="1" x14ac:dyDescent="0.35">
      <c r="A434">
        <v>433</v>
      </c>
      <c r="B434">
        <v>52433</v>
      </c>
      <c r="C434" t="s">
        <v>456</v>
      </c>
      <c r="D434" t="s">
        <v>16</v>
      </c>
      <c r="E434" s="36" t="s">
        <v>282</v>
      </c>
      <c r="F434" s="36" t="s">
        <v>446</v>
      </c>
      <c r="G434" s="40">
        <v>2</v>
      </c>
      <c r="H434" s="40" t="s">
        <v>406</v>
      </c>
      <c r="I434" t="str">
        <f>IF(H434="Track 5 Day 2",IFERROR(_xlfn.XLOOKUP("*"&amp;LEFT(C434,FIND(" ",C434&amp;" ")-1)&amp;"*",'[1]Track 5 Day 2'!$C$1:$C$99,'[1]Track 5 Day 2'!$A$1:$A$99,,2),IFERROR(_xlfn.XLOOKUP("*"&amp;LEFT(C434,FIND(" ",C434&amp;" ")-1)&amp;"*",'[1]Track 5 Day 2'!$G$1:$G$99,'[1]Track 5 Day 2'!$E$1:$E$99,,2),"")),"")</f>
        <v>9.55-10.00</v>
      </c>
      <c r="J434" s="36" t="s">
        <v>872</v>
      </c>
      <c r="K434" s="40">
        <v>5.2</v>
      </c>
    </row>
    <row r="435" spans="1:11" ht="14.25" customHeight="1" x14ac:dyDescent="0.35">
      <c r="A435">
        <v>434</v>
      </c>
      <c r="B435">
        <v>52434</v>
      </c>
      <c r="C435" t="s">
        <v>142</v>
      </c>
      <c r="D435" t="s">
        <v>33</v>
      </c>
      <c r="E435" s="36" t="s">
        <v>277</v>
      </c>
      <c r="F435" s="36" t="s">
        <v>457</v>
      </c>
      <c r="G435" s="40">
        <v>2</v>
      </c>
      <c r="H435" s="40" t="s">
        <v>406</v>
      </c>
      <c r="I435" t="str">
        <f>IF(H435="Track 5 Day 2",IFERROR(_xlfn.XLOOKUP("*"&amp;LEFT(C435,FIND(" ",C435&amp;" ")-1)&amp;"*",'[1]Track 5 Day 2'!$C$1:$C$99,'[1]Track 5 Day 2'!$A$1:$A$99,,2),IFERROR(_xlfn.XLOOKUP("*"&amp;LEFT(C435,FIND(" ",C435&amp;" ")-1)&amp;"*",'[1]Track 5 Day 2'!$G$1:$G$99,'[1]Track 5 Day 2'!$E$1:$E$99,,2),"")),"")</f>
        <v/>
      </c>
      <c r="J435" t="s">
        <v>134</v>
      </c>
      <c r="K435" s="40">
        <v>5.2</v>
      </c>
    </row>
    <row r="436" spans="1:11" ht="14.25" customHeight="1" x14ac:dyDescent="0.35">
      <c r="A436">
        <v>435</v>
      </c>
      <c r="B436">
        <v>52435</v>
      </c>
      <c r="C436" t="s">
        <v>458</v>
      </c>
      <c r="D436" t="s">
        <v>459</v>
      </c>
      <c r="E436" s="36" t="s">
        <v>277</v>
      </c>
      <c r="F436" s="36" t="s">
        <v>457</v>
      </c>
      <c r="G436" s="40">
        <v>2</v>
      </c>
      <c r="H436" s="40" t="s">
        <v>406</v>
      </c>
      <c r="I436" t="str">
        <f>IF(H436="Track 5 Day 2",IFERROR(_xlfn.XLOOKUP("*"&amp;LEFT(C436,FIND(" ",C436&amp;" ")-1)&amp;"*",'[1]Track 5 Day 2'!$C$1:$C$99,'[1]Track 5 Day 2'!$A$1:$A$99,,2),IFERROR(_xlfn.XLOOKUP("*"&amp;LEFT(C436,FIND(" ",C436&amp;" ")-1)&amp;"*",'[1]Track 5 Day 2'!$G$1:$G$99,'[1]Track 5 Day 2'!$E$1:$E$99,,2),"")),"")</f>
        <v/>
      </c>
      <c r="J436" s="36" t="s">
        <v>134</v>
      </c>
      <c r="K436" s="40">
        <v>5.2</v>
      </c>
    </row>
    <row r="437" spans="1:11" ht="14.25" customHeight="1" x14ac:dyDescent="0.35">
      <c r="A437">
        <v>436</v>
      </c>
      <c r="B437">
        <v>52436</v>
      </c>
      <c r="C437" t="s">
        <v>267</v>
      </c>
      <c r="D437" t="s">
        <v>16</v>
      </c>
      <c r="E437" s="36" t="s">
        <v>282</v>
      </c>
      <c r="F437" s="36" t="s">
        <v>457</v>
      </c>
      <c r="G437" s="40">
        <v>2</v>
      </c>
      <c r="H437" s="40" t="s">
        <v>406</v>
      </c>
      <c r="I437" t="str">
        <f>IF(H437="Track 5 Day 2",IFERROR(_xlfn.XLOOKUP("*"&amp;LEFT(C437,FIND(" ",C437&amp;" ")-1)&amp;"*",'[1]Track 5 Day 2'!$C$1:$C$99,'[1]Track 5 Day 2'!$A$1:$A$99,,2),IFERROR(_xlfn.XLOOKUP("*"&amp;LEFT(C437,FIND(" ",C437&amp;" ")-1)&amp;"*",'[1]Track 5 Day 2'!$G$1:$G$99,'[1]Track 5 Day 2'!$E$1:$E$99,,2),"")),"")</f>
        <v>10:10 - 10:16</v>
      </c>
      <c r="J437" s="36" t="s">
        <v>873</v>
      </c>
      <c r="K437" s="40">
        <v>5.2</v>
      </c>
    </row>
    <row r="438" spans="1:11" ht="14.25" customHeight="1" x14ac:dyDescent="0.35">
      <c r="A438">
        <v>437</v>
      </c>
      <c r="B438">
        <v>52437</v>
      </c>
      <c r="C438" t="s">
        <v>460</v>
      </c>
      <c r="D438" t="s">
        <v>129</v>
      </c>
      <c r="E438" s="36" t="s">
        <v>282</v>
      </c>
      <c r="F438" s="36" t="s">
        <v>457</v>
      </c>
      <c r="G438" s="40">
        <v>2</v>
      </c>
      <c r="H438" s="40" t="s">
        <v>406</v>
      </c>
      <c r="I438" t="str">
        <f>IF(H438="Track 5 Day 2",IFERROR(_xlfn.XLOOKUP("*"&amp;LEFT(C438,FIND(" ",C438&amp;" ")-1)&amp;"*",'[1]Track 5 Day 2'!$C$1:$C$99,'[1]Track 5 Day 2'!$A$1:$A$99,,2),IFERROR(_xlfn.XLOOKUP("*"&amp;LEFT(C438,FIND(" ",C438&amp;" ")-1)&amp;"*",'[1]Track 5 Day 2'!$G$1:$G$99,'[1]Track 5 Day 2'!$E$1:$E$99,,2),"")),"")</f>
        <v>10:17 - 10:22</v>
      </c>
      <c r="J438" s="36" t="s">
        <v>874</v>
      </c>
      <c r="K438" s="40">
        <v>5.2</v>
      </c>
    </row>
    <row r="439" spans="1:11" ht="14.25" customHeight="1" x14ac:dyDescent="0.35">
      <c r="A439">
        <v>438</v>
      </c>
      <c r="B439">
        <v>52438</v>
      </c>
      <c r="C439" t="s">
        <v>461</v>
      </c>
      <c r="D439" t="s">
        <v>84</v>
      </c>
      <c r="E439" s="36" t="s">
        <v>282</v>
      </c>
      <c r="F439" s="36" t="s">
        <v>457</v>
      </c>
      <c r="G439" s="40">
        <v>2</v>
      </c>
      <c r="H439" s="40" t="s">
        <v>406</v>
      </c>
      <c r="I439" t="str">
        <f>IF(H439="Track 5 Day 2",IFERROR(_xlfn.XLOOKUP("*"&amp;LEFT(C439,FIND(" ",C439&amp;" ")-1)&amp;"*",'[1]Track 5 Day 2'!$C$1:$C$99,'[1]Track 5 Day 2'!$A$1:$A$99,,2),IFERROR(_xlfn.XLOOKUP("*"&amp;LEFT(C439,FIND(" ",C439&amp;" ")-1)&amp;"*",'[1]Track 5 Day 2'!$G$1:$G$99,'[1]Track 5 Day 2'!$E$1:$E$99,,2),"")),"")</f>
        <v>10:23 - 10:28</v>
      </c>
      <c r="J439" s="36" t="s">
        <v>875</v>
      </c>
      <c r="K439" s="40">
        <v>5.2</v>
      </c>
    </row>
    <row r="440" spans="1:11" ht="14.25" customHeight="1" x14ac:dyDescent="0.35">
      <c r="A440">
        <v>439</v>
      </c>
      <c r="B440">
        <v>52439</v>
      </c>
      <c r="C440" t="s">
        <v>462</v>
      </c>
      <c r="D440" t="s">
        <v>16</v>
      </c>
      <c r="E440" s="36" t="s">
        <v>282</v>
      </c>
      <c r="F440" s="36" t="s">
        <v>457</v>
      </c>
      <c r="G440" s="40">
        <v>2</v>
      </c>
      <c r="H440" s="40" t="s">
        <v>406</v>
      </c>
      <c r="I440" t="str">
        <f>IF(H440="Track 5 Day 2",IFERROR(_xlfn.XLOOKUP("*"&amp;LEFT(C440,FIND(" ",C440&amp;" ")-1)&amp;"*",'[1]Track 5 Day 2'!$C$1:$C$99,'[1]Track 5 Day 2'!$A$1:$A$99,,2),IFERROR(_xlfn.XLOOKUP("*"&amp;LEFT(C440,FIND(" ",C440&amp;" ")-1)&amp;"*",'[1]Track 5 Day 2'!$G$1:$G$99,'[1]Track 5 Day 2'!$E$1:$E$99,,2),"")),"")</f>
        <v>10:29 - 10:34</v>
      </c>
      <c r="J440" s="36" t="s">
        <v>876</v>
      </c>
      <c r="K440" s="40">
        <v>5.2</v>
      </c>
    </row>
    <row r="441" spans="1:11" ht="14.25" customHeight="1" x14ac:dyDescent="0.35">
      <c r="A441">
        <v>440</v>
      </c>
      <c r="B441">
        <v>52440</v>
      </c>
      <c r="C441" t="s">
        <v>389</v>
      </c>
      <c r="D441" t="s">
        <v>16</v>
      </c>
      <c r="E441" s="36" t="s">
        <v>282</v>
      </c>
      <c r="F441" s="36" t="s">
        <v>457</v>
      </c>
      <c r="G441" s="40">
        <v>2</v>
      </c>
      <c r="H441" s="40" t="s">
        <v>406</v>
      </c>
      <c r="I441" t="str">
        <f>IF(H441="Track 5 Day 2",IFERROR(_xlfn.XLOOKUP("*"&amp;LEFT(C441,FIND(" ",C441&amp;" ")-1)&amp;"*",'[1]Track 5 Day 2'!$C$1:$C$99,'[1]Track 5 Day 2'!$A$1:$A$99,,2),IFERROR(_xlfn.XLOOKUP("*"&amp;LEFT(C441,FIND(" ",C441&amp;" ")-1)&amp;"*",'[1]Track 5 Day 2'!$G$1:$G$99,'[1]Track 5 Day 2'!$E$1:$E$99,,2),"")),"")</f>
        <v>10:35 - 19:40</v>
      </c>
      <c r="J441" s="36" t="s">
        <v>822</v>
      </c>
      <c r="K441" s="40">
        <v>5.2</v>
      </c>
    </row>
    <row r="442" spans="1:11" ht="14.25" customHeight="1" x14ac:dyDescent="0.35">
      <c r="A442">
        <v>441</v>
      </c>
      <c r="B442">
        <v>52441</v>
      </c>
      <c r="C442" t="s">
        <v>463</v>
      </c>
      <c r="D442" t="s">
        <v>16</v>
      </c>
      <c r="E442" s="36" t="s">
        <v>282</v>
      </c>
      <c r="F442" s="36" t="s">
        <v>457</v>
      </c>
      <c r="G442" s="40">
        <v>2</v>
      </c>
      <c r="H442" s="40" t="s">
        <v>406</v>
      </c>
      <c r="I442" t="str">
        <f>IF(H442="Track 5 Day 2",IFERROR(_xlfn.XLOOKUP("*"&amp;LEFT(C442,FIND(" ",C442&amp;" ")-1)&amp;"*",'[1]Track 5 Day 2'!$C$1:$C$99,'[1]Track 5 Day 2'!$A$1:$A$99,,2),IFERROR(_xlfn.XLOOKUP("*"&amp;LEFT(C442,FIND(" ",C442&amp;" ")-1)&amp;"*",'[1]Track 5 Day 2'!$G$1:$G$99,'[1]Track 5 Day 2'!$E$1:$E$99,,2),"")),"")</f>
        <v>10:41 - 10:46</v>
      </c>
      <c r="J442" s="36" t="s">
        <v>877</v>
      </c>
      <c r="K442" s="40">
        <v>5.2</v>
      </c>
    </row>
    <row r="443" spans="1:11" ht="14.25" customHeight="1" x14ac:dyDescent="0.35">
      <c r="A443">
        <v>442</v>
      </c>
      <c r="B443">
        <v>52442</v>
      </c>
      <c r="C443" t="s">
        <v>464</v>
      </c>
      <c r="D443" t="s">
        <v>16</v>
      </c>
      <c r="E443" s="36" t="s">
        <v>282</v>
      </c>
      <c r="F443" s="36" t="s">
        <v>457</v>
      </c>
      <c r="G443" s="40">
        <v>2</v>
      </c>
      <c r="H443" s="40" t="s">
        <v>406</v>
      </c>
      <c r="I443" t="str">
        <f>IF(H443="Track 5 Day 2",IFERROR(_xlfn.XLOOKUP("*"&amp;LEFT(C443,FIND(" ",C443&amp;" ")-1)&amp;"*",'[1]Track 5 Day 2'!$C$1:$C$99,'[1]Track 5 Day 2'!$A$1:$A$99,,2),IFERROR(_xlfn.XLOOKUP("*"&amp;LEFT(C443,FIND(" ",C443&amp;" ")-1)&amp;"*",'[1]Track 5 Day 2'!$G$1:$G$99,'[1]Track 5 Day 2'!$E$1:$E$99,,2),"")),"")</f>
        <v>9:25 - 9:30</v>
      </c>
      <c r="J443" s="36" t="s">
        <v>833</v>
      </c>
      <c r="K443" s="40">
        <v>5.2</v>
      </c>
    </row>
    <row r="444" spans="1:11" ht="14.25" customHeight="1" x14ac:dyDescent="0.35">
      <c r="A444">
        <v>443</v>
      </c>
      <c r="B444">
        <v>52443</v>
      </c>
      <c r="C444" t="s">
        <v>246</v>
      </c>
      <c r="D444" t="s">
        <v>247</v>
      </c>
      <c r="E444" s="36" t="s">
        <v>282</v>
      </c>
      <c r="F444" s="36" t="s">
        <v>457</v>
      </c>
      <c r="G444" s="40">
        <v>2</v>
      </c>
      <c r="H444" s="40" t="s">
        <v>406</v>
      </c>
      <c r="I444" t="str">
        <f>IF(H444="Track 5 Day 2",IFERROR(_xlfn.XLOOKUP("*"&amp;LEFT(C444,FIND(" ",C444&amp;" ")-1)&amp;"*",'[1]Track 5 Day 2'!$C$1:$C$99,'[1]Track 5 Day 2'!$A$1:$A$99,,2),IFERROR(_xlfn.XLOOKUP("*"&amp;LEFT(C444,FIND(" ",C444&amp;" ")-1)&amp;"*",'[1]Track 5 Day 2'!$G$1:$G$99,'[1]Track 5 Day 2'!$E$1:$E$99,,2),"")),"")</f>
        <v>12:49 - 12:54</v>
      </c>
      <c r="J444" s="36" t="s">
        <v>859</v>
      </c>
      <c r="K444" s="40">
        <v>5.2</v>
      </c>
    </row>
    <row r="445" spans="1:11" ht="14.25" customHeight="1" x14ac:dyDescent="0.35">
      <c r="A445">
        <v>444</v>
      </c>
      <c r="B445">
        <v>52444</v>
      </c>
      <c r="C445" t="s">
        <v>465</v>
      </c>
      <c r="D445" t="s">
        <v>18</v>
      </c>
      <c r="E445" s="36" t="s">
        <v>282</v>
      </c>
      <c r="F445" s="36" t="s">
        <v>457</v>
      </c>
      <c r="G445" s="40">
        <v>2</v>
      </c>
      <c r="H445" s="40" t="s">
        <v>406</v>
      </c>
      <c r="I445" t="str">
        <f>IF(H445="Track 5 Day 2",IFERROR(_xlfn.XLOOKUP("*"&amp;LEFT(C445,FIND(" ",C445&amp;" ")-1)&amp;"*",'[1]Track 5 Day 2'!$C$1:$C$99,'[1]Track 5 Day 2'!$A$1:$A$99,,2),IFERROR(_xlfn.XLOOKUP("*"&amp;LEFT(C445,FIND(" ",C445&amp;" ")-1)&amp;"*",'[1]Track 5 Day 2'!$G$1:$G$99,'[1]Track 5 Day 2'!$E$1:$E$99,,2),"")),"")</f>
        <v>10:59 - 11:04</v>
      </c>
      <c r="J445" s="36" t="s">
        <v>878</v>
      </c>
      <c r="K445" s="40">
        <v>5.2</v>
      </c>
    </row>
    <row r="446" spans="1:11" ht="14.25" customHeight="1" x14ac:dyDescent="0.35">
      <c r="A446">
        <v>445</v>
      </c>
      <c r="B446">
        <v>52445</v>
      </c>
      <c r="C446" t="s">
        <v>466</v>
      </c>
      <c r="D446" t="s">
        <v>16</v>
      </c>
      <c r="E446" s="36" t="s">
        <v>282</v>
      </c>
      <c r="F446" s="36" t="s">
        <v>457</v>
      </c>
      <c r="G446" s="40">
        <v>2</v>
      </c>
      <c r="H446" s="40" t="s">
        <v>406</v>
      </c>
      <c r="I446" t="str">
        <f>IF(H446="Track 5 Day 2",IFERROR(_xlfn.XLOOKUP("*"&amp;LEFT(C446,FIND(" ",C446&amp;" ")-1)&amp;"*",'[1]Track 5 Day 2'!$C$1:$C$99,'[1]Track 5 Day 2'!$A$1:$A$99,,2),IFERROR(_xlfn.XLOOKUP("*"&amp;LEFT(C446,FIND(" ",C446&amp;" ")-1)&amp;"*",'[1]Track 5 Day 2'!$G$1:$G$99,'[1]Track 5 Day 2'!$E$1:$E$99,,2),"")),"")</f>
        <v>11:05 - 11:10</v>
      </c>
      <c r="J446" s="36" t="s">
        <v>879</v>
      </c>
      <c r="K446" s="40">
        <v>5.2</v>
      </c>
    </row>
    <row r="447" spans="1:11" ht="14.25" customHeight="1" x14ac:dyDescent="0.35">
      <c r="A447">
        <v>446</v>
      </c>
      <c r="B447">
        <v>1</v>
      </c>
      <c r="C447" t="s">
        <v>374</v>
      </c>
      <c r="D447" t="s">
        <v>70</v>
      </c>
      <c r="E447" t="s">
        <v>467</v>
      </c>
      <c r="F447" s="36" t="s">
        <v>467</v>
      </c>
      <c r="G447" s="31">
        <v>1</v>
      </c>
      <c r="H447" s="42">
        <v>1</v>
      </c>
      <c r="I447" t="str">
        <f>IF(H447="Track 1",IFERROR(_xlfn.XLOOKUP("*"&amp;LEFT(C447,FIND(" ",C447&amp;" ")-1)&amp;"*",'[1]Track 1'!$C$1:$C$99,'[1]Track 1'!$A$1:$A$99,,2),IFERROR(_xlfn.XLOOKUP("*"&amp;LEFT(C447,FIND(" ",C447&amp;" ")-1)&amp;"*",'[1]Track 1'!$H$1:$H$99,'[1]Track 1'!$E$1:$E$99,,2),"")),"")</f>
        <v/>
      </c>
      <c r="J447" s="15" t="s">
        <v>134</v>
      </c>
    </row>
    <row r="448" spans="1:11" ht="14.25" customHeight="1" x14ac:dyDescent="0.35">
      <c r="A448">
        <v>447</v>
      </c>
      <c r="B448">
        <v>2</v>
      </c>
      <c r="C448" t="s">
        <v>468</v>
      </c>
      <c r="D448" t="s">
        <v>39</v>
      </c>
      <c r="E448" t="s">
        <v>467</v>
      </c>
      <c r="F448" s="36" t="s">
        <v>467</v>
      </c>
      <c r="G448" s="31">
        <v>1</v>
      </c>
      <c r="H448" s="42">
        <v>1</v>
      </c>
      <c r="I448" t="str">
        <f>IF(H448="Track 1",IFERROR(_xlfn.XLOOKUP("*"&amp;LEFT(C448,FIND(" ",C448&amp;" ")-1)&amp;"*",'[1]Track 1'!$C$1:$C$99,'[1]Track 1'!$A$1:$A$99,,2),IFERROR(_xlfn.XLOOKUP("*"&amp;LEFT(C448,FIND(" ",C448&amp;" ")-1)&amp;"*",'[1]Track 1'!$H$1:$H$99,'[1]Track 1'!$E$1:$E$99,,2),"")),"")</f>
        <v/>
      </c>
      <c r="J448" s="15" t="s">
        <v>134</v>
      </c>
    </row>
    <row r="449" spans="1:10" ht="14.25" customHeight="1" x14ac:dyDescent="0.35">
      <c r="A449">
        <v>448</v>
      </c>
      <c r="B449">
        <v>3</v>
      </c>
      <c r="C449" t="s">
        <v>469</v>
      </c>
      <c r="D449" t="s">
        <v>39</v>
      </c>
      <c r="E449" t="s">
        <v>467</v>
      </c>
      <c r="F449" s="36" t="s">
        <v>467</v>
      </c>
      <c r="G449" s="31">
        <v>1</v>
      </c>
      <c r="H449" s="42">
        <v>1</v>
      </c>
      <c r="I449" t="str">
        <f>IF(H449="Track 1",IFERROR(_xlfn.XLOOKUP("*"&amp;LEFT(C449,FIND(" ",C449&amp;" ")-1)&amp;"*",'[1]Track 1'!$C$1:$C$99,'[1]Track 1'!$A$1:$A$99,,2),IFERROR(_xlfn.XLOOKUP("*"&amp;LEFT(C449,FIND(" ",C449&amp;" ")-1)&amp;"*",'[1]Track 1'!$H$1:$H$99,'[1]Track 1'!$E$1:$E$99,,2),"")),"")</f>
        <v/>
      </c>
      <c r="J449" s="15" t="s">
        <v>134</v>
      </c>
    </row>
    <row r="450" spans="1:10" ht="14.25" customHeight="1" x14ac:dyDescent="0.35">
      <c r="A450">
        <v>449</v>
      </c>
      <c r="B450">
        <v>4</v>
      </c>
      <c r="C450" t="s">
        <v>470</v>
      </c>
      <c r="D450" t="s">
        <v>39</v>
      </c>
      <c r="E450" t="s">
        <v>467</v>
      </c>
      <c r="F450" s="36" t="s">
        <v>467</v>
      </c>
      <c r="G450" s="31">
        <v>1</v>
      </c>
      <c r="H450" s="42">
        <v>1</v>
      </c>
      <c r="I450" t="str">
        <f>IF(H450="Track 1",IFERROR(_xlfn.XLOOKUP("*"&amp;LEFT(C450,FIND(" ",C450&amp;" ")-1)&amp;"*",'[1]Track 1'!$C$1:$C$99,'[1]Track 1'!$A$1:$A$99,,2),IFERROR(_xlfn.XLOOKUP("*"&amp;LEFT(C450,FIND(" ",C450&amp;" ")-1)&amp;"*",'[1]Track 1'!$H$1:$H$99,'[1]Track 1'!$E$1:$E$99,,2),"")),"")</f>
        <v/>
      </c>
      <c r="J450" s="15" t="s">
        <v>134</v>
      </c>
    </row>
    <row r="451" spans="1:10" ht="14.25" customHeight="1" x14ac:dyDescent="0.35">
      <c r="A451">
        <v>450</v>
      </c>
      <c r="B451">
        <v>5</v>
      </c>
      <c r="C451" t="s">
        <v>471</v>
      </c>
      <c r="D451" t="s">
        <v>39</v>
      </c>
      <c r="E451" t="s">
        <v>467</v>
      </c>
      <c r="F451" s="36" t="s">
        <v>467</v>
      </c>
      <c r="G451" s="31">
        <v>1</v>
      </c>
      <c r="H451" s="42">
        <v>1</v>
      </c>
      <c r="I451" t="str">
        <f>IF(H451="Track 1",IFERROR(_xlfn.XLOOKUP("*"&amp;LEFT(C451,FIND(" ",C451&amp;" ")-1)&amp;"*",'[1]Track 1'!$C$1:$C$99,'[1]Track 1'!$A$1:$A$99,,2),IFERROR(_xlfn.XLOOKUP("*"&amp;LEFT(C451,FIND(" ",C451&amp;" ")-1)&amp;"*",'[1]Track 1'!$H$1:$H$99,'[1]Track 1'!$E$1:$E$99,,2),"")),"")</f>
        <v/>
      </c>
      <c r="J451" s="15" t="s">
        <v>134</v>
      </c>
    </row>
    <row r="452" spans="1:10" ht="14.25" customHeight="1" x14ac:dyDescent="0.35">
      <c r="A452">
        <v>451</v>
      </c>
      <c r="B452">
        <v>6</v>
      </c>
      <c r="C452" t="s">
        <v>472</v>
      </c>
      <c r="D452" t="s">
        <v>39</v>
      </c>
      <c r="E452" t="s">
        <v>467</v>
      </c>
      <c r="F452" s="36" t="s">
        <v>467</v>
      </c>
      <c r="G452" s="31">
        <v>1</v>
      </c>
      <c r="H452" s="42">
        <v>1</v>
      </c>
      <c r="I452" t="str">
        <f>IF(H452="Track 1",IFERROR(_xlfn.XLOOKUP("*"&amp;LEFT(C452,FIND(" ",C452&amp;" ")-1)&amp;"*",'[1]Track 1'!$C$1:$C$99,'[1]Track 1'!$A$1:$A$99,,2),IFERROR(_xlfn.XLOOKUP("*"&amp;LEFT(C452,FIND(" ",C452&amp;" ")-1)&amp;"*",'[1]Track 1'!$H$1:$H$99,'[1]Track 1'!$E$1:$E$99,,2),"")),"")</f>
        <v/>
      </c>
      <c r="J452" s="15" t="s">
        <v>134</v>
      </c>
    </row>
    <row r="453" spans="1:10" ht="14.25" customHeight="1" x14ac:dyDescent="0.35">
      <c r="A453">
        <v>452</v>
      </c>
      <c r="B453">
        <v>7</v>
      </c>
      <c r="C453" t="s">
        <v>314</v>
      </c>
      <c r="D453" t="s">
        <v>18</v>
      </c>
      <c r="E453" t="s">
        <v>467</v>
      </c>
      <c r="F453" s="36" t="s">
        <v>467</v>
      </c>
      <c r="G453" s="31">
        <v>1</v>
      </c>
      <c r="H453" s="42">
        <v>1</v>
      </c>
      <c r="I453" t="str">
        <f>IF(H453="Track 1",IFERROR(_xlfn.XLOOKUP("*"&amp;LEFT(C453,FIND(" ",C453&amp;" ")-1)&amp;"*",'[1]Track 1'!$C$1:$C$99,'[1]Track 1'!$A$1:$A$99,,2),IFERROR(_xlfn.XLOOKUP("*"&amp;LEFT(C453,FIND(" ",C453&amp;" ")-1)&amp;"*",'[1]Track 1'!$H$1:$H$99,'[1]Track 1'!$E$1:$E$99,,2),"")),"")</f>
        <v/>
      </c>
      <c r="J453" s="15" t="s">
        <v>134</v>
      </c>
    </row>
    <row r="454" spans="1:10" ht="14.25" customHeight="1" x14ac:dyDescent="0.35">
      <c r="A454">
        <v>453</v>
      </c>
      <c r="B454">
        <v>8</v>
      </c>
      <c r="C454" t="s">
        <v>237</v>
      </c>
      <c r="D454" t="s">
        <v>70</v>
      </c>
      <c r="E454" t="s">
        <v>467</v>
      </c>
      <c r="F454" s="36" t="s">
        <v>467</v>
      </c>
      <c r="G454" s="31">
        <v>1</v>
      </c>
      <c r="H454" s="42">
        <v>1</v>
      </c>
      <c r="I454" t="str">
        <f>IF(H454="Track 1",IFERROR(_xlfn.XLOOKUP("*"&amp;LEFT(C454,FIND(" ",C454&amp;" ")-1)&amp;"*",'[1]Track 1'!$C$1:$C$99,'[1]Track 1'!$A$1:$A$99,,2),IFERROR(_xlfn.XLOOKUP("*"&amp;LEFT(C454,FIND(" ",C454&amp;" ")-1)&amp;"*",'[1]Track 1'!$H$1:$H$99,'[1]Track 1'!$E$1:$E$99,,2),"")),"")</f>
        <v/>
      </c>
      <c r="J454" t="s">
        <v>134</v>
      </c>
    </row>
    <row r="455" spans="1:10" ht="14.25" customHeight="1" x14ac:dyDescent="0.35">
      <c r="A455">
        <v>454</v>
      </c>
      <c r="B455">
        <v>9</v>
      </c>
      <c r="C455" t="s">
        <v>473</v>
      </c>
      <c r="D455" t="s">
        <v>31</v>
      </c>
      <c r="E455" t="s">
        <v>467</v>
      </c>
      <c r="F455" s="36" t="s">
        <v>467</v>
      </c>
      <c r="G455" s="31">
        <v>1</v>
      </c>
      <c r="H455" s="42">
        <v>1</v>
      </c>
      <c r="I455" t="str">
        <f>IF(H455="Track 1",IFERROR(_xlfn.XLOOKUP("*"&amp;LEFT(C455,FIND(" ",C455&amp;" ")-1)&amp;"*",'[1]Track 1'!$C$1:$C$99,'[1]Track 1'!$A$1:$A$99,,2),IFERROR(_xlfn.XLOOKUP("*"&amp;LEFT(C455,FIND(" ",C455&amp;" ")-1)&amp;"*",'[1]Track 1'!$H$1:$H$99,'[1]Track 1'!$E$1:$E$99,,2),"")),"")</f>
        <v/>
      </c>
      <c r="J455" s="15" t="s">
        <v>134</v>
      </c>
    </row>
    <row r="456" spans="1:10" ht="14.25" customHeight="1" x14ac:dyDescent="0.35">
      <c r="A456">
        <v>455</v>
      </c>
      <c r="B456">
        <v>10</v>
      </c>
      <c r="C456" t="s">
        <v>474</v>
      </c>
      <c r="D456" t="s">
        <v>188</v>
      </c>
      <c r="E456" t="s">
        <v>467</v>
      </c>
      <c r="F456" s="36" t="s">
        <v>467</v>
      </c>
      <c r="G456" s="31">
        <v>1</v>
      </c>
      <c r="H456" s="42">
        <v>1</v>
      </c>
      <c r="I456" t="str">
        <f>IF(H456="Track 1",IFERROR(_xlfn.XLOOKUP("*"&amp;LEFT(C456,FIND(" ",C456&amp;" ")-1)&amp;"*",'[1]Track 1'!$C$1:$C$99,'[1]Track 1'!$A$1:$A$99,,2),IFERROR(_xlfn.XLOOKUP("*"&amp;LEFT(C456,FIND(" ",C456&amp;" ")-1)&amp;"*",'[1]Track 1'!$H$1:$H$99,'[1]Track 1'!$E$1:$E$99,,2),"")),"")</f>
        <v/>
      </c>
      <c r="J456" s="15" t="s">
        <v>134</v>
      </c>
    </row>
    <row r="457" spans="1:10" ht="14.25" customHeight="1" x14ac:dyDescent="0.35">
      <c r="A457">
        <v>456</v>
      </c>
      <c r="B457">
        <v>11</v>
      </c>
      <c r="C457" t="s">
        <v>450</v>
      </c>
      <c r="D457" t="s">
        <v>16</v>
      </c>
      <c r="E457" t="s">
        <v>467</v>
      </c>
      <c r="F457" s="36" t="s">
        <v>467</v>
      </c>
      <c r="G457" s="31">
        <v>1</v>
      </c>
      <c r="H457" s="42">
        <v>1</v>
      </c>
      <c r="I457" t="str">
        <f>IF(H457="Track 1",IFERROR(_xlfn.XLOOKUP("*"&amp;LEFT(C457,FIND(" ",C457&amp;" ")-1)&amp;"*",'[1]Track 1'!$C$1:$C$99,'[1]Track 1'!$A$1:$A$99,,2),IFERROR(_xlfn.XLOOKUP("*"&amp;LEFT(C457,FIND(" ",C457&amp;" ")-1)&amp;"*",'[1]Track 1'!$H$1:$H$99,'[1]Track 1'!$E$1:$E$99,,2),"")),"")</f>
        <v/>
      </c>
      <c r="J457" s="15" t="s">
        <v>134</v>
      </c>
    </row>
    <row r="458" spans="1:10" ht="14.25" customHeight="1" x14ac:dyDescent="0.35">
      <c r="A458">
        <v>457</v>
      </c>
      <c r="B458">
        <v>12</v>
      </c>
      <c r="C458" t="s">
        <v>475</v>
      </c>
      <c r="D458" t="s">
        <v>65</v>
      </c>
      <c r="E458" t="s">
        <v>467</v>
      </c>
      <c r="F458" s="36" t="s">
        <v>467</v>
      </c>
      <c r="G458" s="31">
        <v>1</v>
      </c>
      <c r="H458" s="42">
        <v>1</v>
      </c>
      <c r="I458" t="str">
        <f>IF(H458="Track 1",IFERROR(_xlfn.XLOOKUP("*"&amp;LEFT(C458,FIND(" ",C458&amp;" ")-1)&amp;"*",'[1]Track 1'!$C$1:$C$99,'[1]Track 1'!$A$1:$A$99,,2),IFERROR(_xlfn.XLOOKUP("*"&amp;LEFT(C458,FIND(" ",C458&amp;" ")-1)&amp;"*",'[1]Track 1'!$H$1:$H$99,'[1]Track 1'!$E$1:$E$99,,2),"")),"")</f>
        <v/>
      </c>
      <c r="J458" s="15" t="s">
        <v>134</v>
      </c>
    </row>
    <row r="459" spans="1:10" ht="14.25" customHeight="1" x14ac:dyDescent="0.35">
      <c r="A459">
        <v>458</v>
      </c>
      <c r="B459">
        <v>13</v>
      </c>
      <c r="C459" t="s">
        <v>476</v>
      </c>
      <c r="D459" t="s">
        <v>191</v>
      </c>
      <c r="E459" t="s">
        <v>467</v>
      </c>
      <c r="F459" s="36" t="s">
        <v>467</v>
      </c>
      <c r="G459" s="31">
        <v>1</v>
      </c>
      <c r="H459" s="42">
        <v>1</v>
      </c>
      <c r="I459" t="str">
        <f>IF(H459="Track 1",IFERROR(_xlfn.XLOOKUP("*"&amp;LEFT(C459,FIND(" ",C459&amp;" ")-1)&amp;"*",'[1]Track 1'!$C$1:$C$99,'[1]Track 1'!$A$1:$A$99,,2),IFERROR(_xlfn.XLOOKUP("*"&amp;LEFT(C459,FIND(" ",C459&amp;" ")-1)&amp;"*",'[1]Track 1'!$H$1:$H$99,'[1]Track 1'!$E$1:$E$99,,2),"")),"")</f>
        <v/>
      </c>
      <c r="J459" s="15" t="s">
        <v>134</v>
      </c>
    </row>
    <row r="460" spans="1:10" ht="14.25" customHeight="1" x14ac:dyDescent="0.35">
      <c r="A460">
        <v>459</v>
      </c>
      <c r="B460">
        <v>14</v>
      </c>
      <c r="C460" t="s">
        <v>477</v>
      </c>
      <c r="D460" t="s">
        <v>191</v>
      </c>
      <c r="E460" t="s">
        <v>467</v>
      </c>
      <c r="F460" s="36" t="s">
        <v>467</v>
      </c>
      <c r="G460" s="31">
        <v>1</v>
      </c>
      <c r="H460" s="42">
        <v>1</v>
      </c>
      <c r="I460" t="str">
        <f>IF(H460="Track 1",IFERROR(_xlfn.XLOOKUP("*"&amp;LEFT(C460,FIND(" ",C460&amp;" ")-1)&amp;"*",'[1]Track 1'!$C$1:$C$99,'[1]Track 1'!$A$1:$A$99,,2),IFERROR(_xlfn.XLOOKUP("*"&amp;LEFT(C460,FIND(" ",C460&amp;" ")-1)&amp;"*",'[1]Track 1'!$H$1:$H$99,'[1]Track 1'!$E$1:$E$99,,2),"")),"")</f>
        <v/>
      </c>
      <c r="J460" s="15" t="s">
        <v>134</v>
      </c>
    </row>
    <row r="461" spans="1:10" ht="14.25" customHeight="1" x14ac:dyDescent="0.35">
      <c r="A461">
        <v>460</v>
      </c>
      <c r="B461">
        <v>15</v>
      </c>
      <c r="C461" t="s">
        <v>477</v>
      </c>
      <c r="D461" t="s">
        <v>191</v>
      </c>
      <c r="E461" t="s">
        <v>467</v>
      </c>
      <c r="F461" s="36" t="s">
        <v>467</v>
      </c>
      <c r="G461" s="31">
        <v>1</v>
      </c>
      <c r="H461" s="42">
        <v>1</v>
      </c>
      <c r="I461" t="str">
        <f>IF(H461="Track 1",IFERROR(_xlfn.XLOOKUP("*"&amp;LEFT(C461,FIND(" ",C461&amp;" ")-1)&amp;"*",'[1]Track 1'!$C$1:$C$99,'[1]Track 1'!$A$1:$A$99,,2),IFERROR(_xlfn.XLOOKUP("*"&amp;LEFT(C461,FIND(" ",C461&amp;" ")-1)&amp;"*",'[1]Track 1'!$H$1:$H$99,'[1]Track 1'!$E$1:$E$99,,2),"")),"")</f>
        <v/>
      </c>
      <c r="J461" s="15" t="s">
        <v>134</v>
      </c>
    </row>
    <row r="462" spans="1:10" ht="14.25" customHeight="1" x14ac:dyDescent="0.35">
      <c r="A462">
        <v>461</v>
      </c>
      <c r="B462">
        <v>16</v>
      </c>
      <c r="C462" t="s">
        <v>478</v>
      </c>
      <c r="D462" t="s">
        <v>479</v>
      </c>
      <c r="E462" t="s">
        <v>467</v>
      </c>
      <c r="F462" s="36" t="s">
        <v>467</v>
      </c>
      <c r="G462" s="31">
        <v>1</v>
      </c>
      <c r="H462" s="42">
        <v>1</v>
      </c>
      <c r="I462" t="str">
        <f>IF(H462="Track 1",IFERROR(_xlfn.XLOOKUP("*"&amp;LEFT(C462,FIND(" ",C462&amp;" ")-1)&amp;"*",'[1]Track 1'!$C$1:$C$99,'[1]Track 1'!$A$1:$A$99,,2),IFERROR(_xlfn.XLOOKUP("*"&amp;LEFT(C462,FIND(" ",C462&amp;" ")-1)&amp;"*",'[1]Track 1'!$H$1:$H$99,'[1]Track 1'!$E$1:$E$99,,2),"")),"")</f>
        <v/>
      </c>
      <c r="J462" s="15" t="s">
        <v>134</v>
      </c>
    </row>
    <row r="463" spans="1:10" ht="14.25" customHeight="1" x14ac:dyDescent="0.35">
      <c r="A463">
        <v>462</v>
      </c>
      <c r="B463">
        <v>17</v>
      </c>
      <c r="C463" t="s">
        <v>480</v>
      </c>
      <c r="D463" t="s">
        <v>18</v>
      </c>
      <c r="E463" t="s">
        <v>467</v>
      </c>
      <c r="F463" s="36" t="s">
        <v>467</v>
      </c>
      <c r="G463" s="31">
        <v>1</v>
      </c>
      <c r="H463" s="42">
        <v>1</v>
      </c>
      <c r="I463" t="str">
        <f>IF(H463="Track 1",IFERROR(_xlfn.XLOOKUP("*"&amp;LEFT(C463,FIND(" ",C463&amp;" ")-1)&amp;"*",'[1]Track 1'!$C$1:$C$99,'[1]Track 1'!$A$1:$A$99,,2),IFERROR(_xlfn.XLOOKUP("*"&amp;LEFT(C463,FIND(" ",C463&amp;" ")-1)&amp;"*",'[1]Track 1'!$H$1:$H$99,'[1]Track 1'!$E$1:$E$99,,2),"")),"")</f>
        <v/>
      </c>
      <c r="J463" s="15" t="s">
        <v>134</v>
      </c>
    </row>
    <row r="464" spans="1:10" ht="14.25" customHeight="1" x14ac:dyDescent="0.35">
      <c r="A464">
        <v>463</v>
      </c>
      <c r="B464">
        <v>18</v>
      </c>
      <c r="C464" t="s">
        <v>481</v>
      </c>
      <c r="D464" t="s">
        <v>191</v>
      </c>
      <c r="E464" t="s">
        <v>467</v>
      </c>
      <c r="F464" s="36" t="s">
        <v>467</v>
      </c>
      <c r="G464" s="31">
        <v>1</v>
      </c>
      <c r="H464" s="42">
        <v>1</v>
      </c>
      <c r="I464" t="str">
        <f>IF(H464="Track 1",IFERROR(_xlfn.XLOOKUP("*"&amp;LEFT(C464,FIND(" ",C464&amp;" ")-1)&amp;"*",'[1]Track 1'!$C$1:$C$99,'[1]Track 1'!$A$1:$A$99,,2),IFERROR(_xlfn.XLOOKUP("*"&amp;LEFT(C464,FIND(" ",C464&amp;" ")-1)&amp;"*",'[1]Track 1'!$H$1:$H$99,'[1]Track 1'!$E$1:$E$99,,2),"")),"")</f>
        <v/>
      </c>
      <c r="J464" s="15" t="s">
        <v>134</v>
      </c>
    </row>
    <row r="465" spans="1:10" ht="14.25" customHeight="1" x14ac:dyDescent="0.35">
      <c r="A465">
        <v>464</v>
      </c>
      <c r="B465">
        <v>19</v>
      </c>
      <c r="C465" t="s">
        <v>482</v>
      </c>
      <c r="D465" t="s">
        <v>483</v>
      </c>
      <c r="E465" t="s">
        <v>467</v>
      </c>
      <c r="F465" s="36" t="s">
        <v>467</v>
      </c>
      <c r="G465" s="31">
        <v>1</v>
      </c>
      <c r="H465" s="42">
        <v>1</v>
      </c>
      <c r="I465" t="str">
        <f>IF(H465="Track 1",IFERROR(_xlfn.XLOOKUP("*"&amp;LEFT(C465,FIND(" ",C465&amp;" ")-1)&amp;"*",'[1]Track 1'!$C$1:$C$99,'[1]Track 1'!$A$1:$A$99,,2),IFERROR(_xlfn.XLOOKUP("*"&amp;LEFT(C465,FIND(" ",C465&amp;" ")-1)&amp;"*",'[1]Track 1'!$H$1:$H$99,'[1]Track 1'!$E$1:$E$99,,2),"")),"")</f>
        <v/>
      </c>
      <c r="J465" s="15" t="s">
        <v>134</v>
      </c>
    </row>
    <row r="466" spans="1:10" ht="14.25" customHeight="1" x14ac:dyDescent="0.35">
      <c r="A466">
        <v>465</v>
      </c>
      <c r="B466">
        <v>20</v>
      </c>
      <c r="C466" t="s">
        <v>484</v>
      </c>
      <c r="D466" t="s">
        <v>485</v>
      </c>
      <c r="E466" t="s">
        <v>467</v>
      </c>
      <c r="F466" s="36" t="s">
        <v>467</v>
      </c>
      <c r="G466" s="31">
        <v>1</v>
      </c>
      <c r="H466" s="42">
        <v>1</v>
      </c>
      <c r="I466" t="str">
        <f>IF(H466="Track 1",IFERROR(_xlfn.XLOOKUP("*"&amp;LEFT(C466,FIND(" ",C466&amp;" ")-1)&amp;"*",'[1]Track 1'!$C$1:$C$99,'[1]Track 1'!$A$1:$A$99,,2),IFERROR(_xlfn.XLOOKUP("*"&amp;LEFT(C466,FIND(" ",C466&amp;" ")-1)&amp;"*",'[1]Track 1'!$H$1:$H$99,'[1]Track 1'!$E$1:$E$99,,2),"")),"")</f>
        <v/>
      </c>
      <c r="J466" s="15" t="s">
        <v>134</v>
      </c>
    </row>
    <row r="467" spans="1:10" ht="14.25" customHeight="1" x14ac:dyDescent="0.35">
      <c r="A467">
        <v>466</v>
      </c>
      <c r="B467">
        <v>21</v>
      </c>
      <c r="C467" t="s">
        <v>451</v>
      </c>
      <c r="D467" t="s">
        <v>247</v>
      </c>
      <c r="E467" t="s">
        <v>467</v>
      </c>
      <c r="F467" s="36" t="s">
        <v>467</v>
      </c>
      <c r="G467" s="31">
        <v>1</v>
      </c>
      <c r="H467" s="42">
        <v>1</v>
      </c>
      <c r="I467" t="str">
        <f>IF(H467="Track 1",IFERROR(_xlfn.XLOOKUP("*"&amp;LEFT(C467,FIND(" ",C467&amp;" ")-1)&amp;"*",'[1]Track 1'!$C$1:$C$99,'[1]Track 1'!$A$1:$A$99,,2),IFERROR(_xlfn.XLOOKUP("*"&amp;LEFT(C467,FIND(" ",C467&amp;" ")-1)&amp;"*",'[1]Track 1'!$H$1:$H$99,'[1]Track 1'!$E$1:$E$99,,2),"")),"")</f>
        <v/>
      </c>
      <c r="J467" s="15" t="s">
        <v>134</v>
      </c>
    </row>
    <row r="468" spans="1:10" ht="14.25" customHeight="1" x14ac:dyDescent="0.35">
      <c r="A468">
        <v>467</v>
      </c>
      <c r="B468">
        <v>22</v>
      </c>
      <c r="C468" t="s">
        <v>349</v>
      </c>
      <c r="D468" t="s">
        <v>31</v>
      </c>
      <c r="E468" t="s">
        <v>467</v>
      </c>
      <c r="F468" s="36" t="s">
        <v>467</v>
      </c>
      <c r="G468" s="31">
        <v>1</v>
      </c>
      <c r="H468" s="42">
        <v>1</v>
      </c>
      <c r="I468" t="str">
        <f>IF(H468="Track 1",IFERROR(_xlfn.XLOOKUP("*"&amp;LEFT(C468,FIND(" ",C468&amp;" ")-1)&amp;"*",'[1]Track 1'!$C$1:$C$99,'[1]Track 1'!$A$1:$A$99,,2),IFERROR(_xlfn.XLOOKUP("*"&amp;LEFT(C468,FIND(" ",C468&amp;" ")-1)&amp;"*",'[1]Track 1'!$H$1:$H$99,'[1]Track 1'!$E$1:$E$99,,2),"")),"")</f>
        <v/>
      </c>
      <c r="J468" s="15" t="s">
        <v>134</v>
      </c>
    </row>
    <row r="469" spans="1:10" ht="14.25" customHeight="1" x14ac:dyDescent="0.35">
      <c r="A469">
        <v>468</v>
      </c>
      <c r="B469">
        <v>23</v>
      </c>
      <c r="C469" t="s">
        <v>318</v>
      </c>
      <c r="D469" t="s">
        <v>191</v>
      </c>
      <c r="E469" t="s">
        <v>467</v>
      </c>
      <c r="F469" s="36" t="s">
        <v>467</v>
      </c>
      <c r="G469" s="31">
        <v>1</v>
      </c>
      <c r="H469" s="42">
        <v>1</v>
      </c>
      <c r="I469" t="str">
        <f>IF(H469="Track 1",IFERROR(_xlfn.XLOOKUP("*"&amp;LEFT(C469,FIND(" ",C469&amp;" ")-1)&amp;"*",'[1]Track 1'!$C$1:$C$99,'[1]Track 1'!$A$1:$A$99,,2),IFERROR(_xlfn.XLOOKUP("*"&amp;LEFT(C469,FIND(" ",C469&amp;" ")-1)&amp;"*",'[1]Track 1'!$H$1:$H$99,'[1]Track 1'!$E$1:$E$99,,2),"")),"")</f>
        <v/>
      </c>
      <c r="J469" s="15" t="s">
        <v>134</v>
      </c>
    </row>
    <row r="470" spans="1:10" ht="14.25" customHeight="1" x14ac:dyDescent="0.35">
      <c r="A470">
        <v>469</v>
      </c>
      <c r="B470">
        <v>24</v>
      </c>
      <c r="C470" t="s">
        <v>486</v>
      </c>
      <c r="D470" t="s">
        <v>39</v>
      </c>
      <c r="E470" t="s">
        <v>467</v>
      </c>
      <c r="F470" s="36" t="s">
        <v>467</v>
      </c>
      <c r="G470" s="31">
        <v>1</v>
      </c>
      <c r="H470" s="42">
        <v>1</v>
      </c>
      <c r="I470" t="str">
        <f>IF(H470="Track 1",IFERROR(_xlfn.XLOOKUP("*"&amp;LEFT(C470,FIND(" ",C470&amp;" ")-1)&amp;"*",'[1]Track 1'!$C$1:$C$99,'[1]Track 1'!$A$1:$A$99,,2),IFERROR(_xlfn.XLOOKUP("*"&amp;LEFT(C470,FIND(" ",C470&amp;" ")-1)&amp;"*",'[1]Track 1'!$H$1:$H$99,'[1]Track 1'!$E$1:$E$99,,2),"")),"")</f>
        <v/>
      </c>
      <c r="J470" s="15" t="s">
        <v>134</v>
      </c>
    </row>
    <row r="471" spans="1:10" ht="14.25" customHeight="1" x14ac:dyDescent="0.35">
      <c r="A471">
        <v>470</v>
      </c>
      <c r="B471">
        <v>25</v>
      </c>
      <c r="C471" t="s">
        <v>487</v>
      </c>
      <c r="D471" t="s">
        <v>39</v>
      </c>
      <c r="E471" t="s">
        <v>467</v>
      </c>
      <c r="F471" s="36" t="s">
        <v>467</v>
      </c>
      <c r="G471" s="31">
        <v>1</v>
      </c>
      <c r="H471" s="42">
        <v>1</v>
      </c>
      <c r="I471" t="str">
        <f>IF(H471="Track 1",IFERROR(_xlfn.XLOOKUP("*"&amp;LEFT(C471,FIND(" ",C471&amp;" ")-1)&amp;"*",'[1]Track 1'!$C$1:$C$99,'[1]Track 1'!$A$1:$A$99,,2),IFERROR(_xlfn.XLOOKUP("*"&amp;LEFT(C471,FIND(" ",C471&amp;" ")-1)&amp;"*",'[1]Track 1'!$H$1:$H$99,'[1]Track 1'!$E$1:$E$99,,2),"")),"")</f>
        <v/>
      </c>
      <c r="J471" s="15" t="s">
        <v>134</v>
      </c>
    </row>
    <row r="472" spans="1:10" ht="14.25" customHeight="1" x14ac:dyDescent="0.35">
      <c r="A472">
        <v>471</v>
      </c>
      <c r="B472">
        <v>26</v>
      </c>
      <c r="C472" t="s">
        <v>488</v>
      </c>
      <c r="D472" t="s">
        <v>489</v>
      </c>
      <c r="E472" t="s">
        <v>467</v>
      </c>
      <c r="F472" s="36" t="s">
        <v>467</v>
      </c>
      <c r="G472" s="31">
        <v>1</v>
      </c>
      <c r="H472" s="42">
        <v>1</v>
      </c>
      <c r="I472" t="str">
        <f>IF(H472="Track 1",IFERROR(_xlfn.XLOOKUP("*"&amp;LEFT(C472,FIND(" ",C472&amp;" ")-1)&amp;"*",'[1]Track 1'!$C$1:$C$99,'[1]Track 1'!$A$1:$A$99,,2),IFERROR(_xlfn.XLOOKUP("*"&amp;LEFT(C472,FIND(" ",C472&amp;" ")-1)&amp;"*",'[1]Track 1'!$H$1:$H$99,'[1]Track 1'!$E$1:$E$99,,2),"")),"")</f>
        <v/>
      </c>
      <c r="J472" s="15" t="s">
        <v>134</v>
      </c>
    </row>
    <row r="473" spans="1:10" ht="14.25" customHeight="1" x14ac:dyDescent="0.35">
      <c r="A473">
        <v>472</v>
      </c>
      <c r="B473">
        <v>27</v>
      </c>
      <c r="C473" t="s">
        <v>490</v>
      </c>
      <c r="D473" t="s">
        <v>150</v>
      </c>
      <c r="E473" t="s">
        <v>467</v>
      </c>
      <c r="F473" s="36" t="s">
        <v>467</v>
      </c>
      <c r="G473" s="31">
        <v>1</v>
      </c>
      <c r="H473" s="42">
        <v>1</v>
      </c>
      <c r="I473" t="str">
        <f>IF(H473="Track 1",IFERROR(_xlfn.XLOOKUP("*"&amp;LEFT(C473,FIND(" ",C473&amp;" ")-1)&amp;"*",'[1]Track 1'!$C$1:$C$99,'[1]Track 1'!$A$1:$A$99,,2),IFERROR(_xlfn.XLOOKUP("*"&amp;LEFT(C473,FIND(" ",C473&amp;" ")-1)&amp;"*",'[1]Track 1'!$H$1:$H$99,'[1]Track 1'!$E$1:$E$99,,2),"")),"")</f>
        <v/>
      </c>
      <c r="J473" s="15" t="s">
        <v>134</v>
      </c>
    </row>
    <row r="474" spans="1:10" ht="14.25" customHeight="1" x14ac:dyDescent="0.35">
      <c r="A474">
        <v>473</v>
      </c>
      <c r="B474">
        <v>28</v>
      </c>
      <c r="C474" t="s">
        <v>328</v>
      </c>
      <c r="D474" t="s">
        <v>39</v>
      </c>
      <c r="E474" t="s">
        <v>467</v>
      </c>
      <c r="F474" s="36" t="s">
        <v>467</v>
      </c>
      <c r="G474" s="31">
        <v>1</v>
      </c>
      <c r="H474" s="42">
        <v>1</v>
      </c>
      <c r="I474" t="str">
        <f>IF(H474="Track 1",IFERROR(_xlfn.XLOOKUP("*"&amp;LEFT(C474,FIND(" ",C474&amp;" ")-1)&amp;"*",'[1]Track 1'!$C$1:$C$99,'[1]Track 1'!$A$1:$A$99,,2),IFERROR(_xlfn.XLOOKUP("*"&amp;LEFT(C474,FIND(" ",C474&amp;" ")-1)&amp;"*",'[1]Track 1'!$H$1:$H$99,'[1]Track 1'!$E$1:$E$99,,2),"")),"")</f>
        <v/>
      </c>
      <c r="J474" s="15" t="s">
        <v>134</v>
      </c>
    </row>
    <row r="475" spans="1:10" ht="14.25" customHeight="1" x14ac:dyDescent="0.35">
      <c r="A475">
        <v>474</v>
      </c>
      <c r="B475">
        <v>29</v>
      </c>
      <c r="C475" t="s">
        <v>491</v>
      </c>
      <c r="D475" t="s">
        <v>39</v>
      </c>
      <c r="E475" t="s">
        <v>467</v>
      </c>
      <c r="F475" s="36" t="s">
        <v>467</v>
      </c>
      <c r="G475" s="31">
        <v>1</v>
      </c>
      <c r="H475" s="42">
        <v>1</v>
      </c>
      <c r="I475" t="str">
        <f>IF(H475="Track 1",IFERROR(_xlfn.XLOOKUP("*"&amp;LEFT(C475,FIND(" ",C475&amp;" ")-1)&amp;"*",'[1]Track 1'!$C$1:$C$99,'[1]Track 1'!$A$1:$A$99,,2),IFERROR(_xlfn.XLOOKUP("*"&amp;LEFT(C475,FIND(" ",C475&amp;" ")-1)&amp;"*",'[1]Track 1'!$H$1:$H$99,'[1]Track 1'!$E$1:$E$99,,2),"")),"")</f>
        <v/>
      </c>
      <c r="J475" s="15" t="s">
        <v>134</v>
      </c>
    </row>
    <row r="476" spans="1:10" ht="14.25" customHeight="1" x14ac:dyDescent="0.35">
      <c r="A476">
        <v>475</v>
      </c>
      <c r="B476">
        <v>30</v>
      </c>
      <c r="C476" t="s">
        <v>492</v>
      </c>
      <c r="D476" t="s">
        <v>39</v>
      </c>
      <c r="E476" t="s">
        <v>467</v>
      </c>
      <c r="F476" s="36" t="s">
        <v>467</v>
      </c>
      <c r="G476" s="31">
        <v>1</v>
      </c>
      <c r="H476" s="42">
        <v>1</v>
      </c>
      <c r="I476" t="str">
        <f>IF(H476="Track 1",IFERROR(_xlfn.XLOOKUP("*"&amp;LEFT(C476,FIND(" ",C476&amp;" ")-1)&amp;"*",'[1]Track 1'!$C$1:$C$99,'[1]Track 1'!$A$1:$A$99,,2),IFERROR(_xlfn.XLOOKUP("*"&amp;LEFT(C476,FIND(" ",C476&amp;" ")-1)&amp;"*",'[1]Track 1'!$H$1:$H$99,'[1]Track 1'!$E$1:$E$99,,2),"")),"")</f>
        <v/>
      </c>
      <c r="J476" s="15" t="s">
        <v>134</v>
      </c>
    </row>
    <row r="477" spans="1:10" ht="14.25" customHeight="1" x14ac:dyDescent="0.35">
      <c r="A477">
        <v>476</v>
      </c>
      <c r="B477">
        <v>31</v>
      </c>
      <c r="C477" t="s">
        <v>493</v>
      </c>
      <c r="D477" t="s">
        <v>191</v>
      </c>
      <c r="E477" t="s">
        <v>467</v>
      </c>
      <c r="F477" s="36" t="s">
        <v>467</v>
      </c>
      <c r="G477" s="31">
        <v>1</v>
      </c>
      <c r="H477" s="42">
        <v>1</v>
      </c>
      <c r="I477" t="str">
        <f>IF(H477="Track 1",IFERROR(_xlfn.XLOOKUP("*"&amp;LEFT(C477,FIND(" ",C477&amp;" ")-1)&amp;"*",'[1]Track 1'!$C$1:$C$99,'[1]Track 1'!$A$1:$A$99,,2),IFERROR(_xlfn.XLOOKUP("*"&amp;LEFT(C477,FIND(" ",C477&amp;" ")-1)&amp;"*",'[1]Track 1'!$H$1:$H$99,'[1]Track 1'!$E$1:$E$99,,2),"")),"")</f>
        <v/>
      </c>
      <c r="J477" s="15" t="s">
        <v>134</v>
      </c>
    </row>
    <row r="478" spans="1:10" ht="14.25" customHeight="1" x14ac:dyDescent="0.35">
      <c r="A478">
        <v>477</v>
      </c>
      <c r="B478">
        <v>32</v>
      </c>
      <c r="C478" t="s">
        <v>494</v>
      </c>
      <c r="D478" t="s">
        <v>84</v>
      </c>
      <c r="E478" t="s">
        <v>467</v>
      </c>
      <c r="F478" s="36" t="s">
        <v>467</v>
      </c>
      <c r="G478" s="31">
        <v>1</v>
      </c>
      <c r="H478" s="42">
        <v>1</v>
      </c>
      <c r="I478" t="str">
        <f>IF(H478="Track 1",IFERROR(_xlfn.XLOOKUP("*"&amp;LEFT(C478,FIND(" ",C478&amp;" ")-1)&amp;"*",'[1]Track 1'!$C$1:$C$99,'[1]Track 1'!$A$1:$A$99,,2),IFERROR(_xlfn.XLOOKUP("*"&amp;LEFT(C478,FIND(" ",C478&amp;" ")-1)&amp;"*",'[1]Track 1'!$H$1:$H$99,'[1]Track 1'!$E$1:$E$99,,2),"")),"")</f>
        <v/>
      </c>
      <c r="J478" s="15" t="s">
        <v>134</v>
      </c>
    </row>
    <row r="479" spans="1:10" ht="14.25" customHeight="1" x14ac:dyDescent="0.35">
      <c r="A479">
        <v>478</v>
      </c>
      <c r="B479">
        <v>33</v>
      </c>
      <c r="C479" t="s">
        <v>315</v>
      </c>
      <c r="D479" t="s">
        <v>191</v>
      </c>
      <c r="E479" t="s">
        <v>467</v>
      </c>
      <c r="F479" s="36" t="s">
        <v>467</v>
      </c>
      <c r="G479" s="31">
        <v>1</v>
      </c>
      <c r="H479" s="42">
        <v>2</v>
      </c>
      <c r="I479" t="str">
        <f>IF(H479="Track 1",IFERROR(_xlfn.XLOOKUP("*"&amp;LEFT(C479,FIND(" ",C479&amp;" ")-1)&amp;"*",'[1]Track 1'!$C$1:$C$99,'[1]Track 1'!$A$1:$A$99,,2),IFERROR(_xlfn.XLOOKUP("*"&amp;LEFT(C479,FIND(" ",C479&amp;" ")-1)&amp;"*",'[1]Track 1'!$H$1:$H$99,'[1]Track 1'!$E$1:$E$99,,2),"")),"")</f>
        <v/>
      </c>
      <c r="J479" s="15" t="s">
        <v>134</v>
      </c>
    </row>
    <row r="480" spans="1:10" ht="14.25" customHeight="1" x14ac:dyDescent="0.35">
      <c r="A480">
        <v>479</v>
      </c>
      <c r="B480">
        <v>34</v>
      </c>
      <c r="C480" t="s">
        <v>495</v>
      </c>
      <c r="D480" t="s">
        <v>496</v>
      </c>
      <c r="E480" t="s">
        <v>467</v>
      </c>
      <c r="F480" s="36" t="s">
        <v>467</v>
      </c>
      <c r="G480" s="31">
        <v>1</v>
      </c>
      <c r="H480" s="42">
        <v>2</v>
      </c>
      <c r="I480" t="str">
        <f>IF(H480="Track 1",IFERROR(_xlfn.XLOOKUP("*"&amp;LEFT(C480,FIND(" ",C480&amp;" ")-1)&amp;"*",'[1]Track 1'!$C$1:$C$99,'[1]Track 1'!$A$1:$A$99,,2),IFERROR(_xlfn.XLOOKUP("*"&amp;LEFT(C480,FIND(" ",C480&amp;" ")-1)&amp;"*",'[1]Track 1'!$H$1:$H$99,'[1]Track 1'!$E$1:$E$99,,2),"")),"")</f>
        <v/>
      </c>
      <c r="J480" s="15" t="s">
        <v>134</v>
      </c>
    </row>
    <row r="481" spans="1:10" ht="14.25" customHeight="1" x14ac:dyDescent="0.35">
      <c r="A481">
        <v>480</v>
      </c>
      <c r="B481">
        <v>35</v>
      </c>
      <c r="C481" t="s">
        <v>497</v>
      </c>
      <c r="D481" t="s">
        <v>191</v>
      </c>
      <c r="E481" t="s">
        <v>467</v>
      </c>
      <c r="F481" s="36" t="s">
        <v>467</v>
      </c>
      <c r="G481" s="31">
        <v>1</v>
      </c>
      <c r="H481" s="42">
        <v>2</v>
      </c>
      <c r="I481" t="str">
        <f>IF(H481="Track 1",IFERROR(_xlfn.XLOOKUP("*"&amp;LEFT(C481,FIND(" ",C481&amp;" ")-1)&amp;"*",'[1]Track 1'!$C$1:$C$99,'[1]Track 1'!$A$1:$A$99,,2),IFERROR(_xlfn.XLOOKUP("*"&amp;LEFT(C481,FIND(" ",C481&amp;" ")-1)&amp;"*",'[1]Track 1'!$H$1:$H$99,'[1]Track 1'!$E$1:$E$99,,2),"")),"")</f>
        <v/>
      </c>
      <c r="J481" s="15" t="s">
        <v>134</v>
      </c>
    </row>
    <row r="482" spans="1:10" ht="14.25" customHeight="1" x14ac:dyDescent="0.35">
      <c r="A482">
        <v>481</v>
      </c>
      <c r="B482">
        <v>36</v>
      </c>
      <c r="C482" t="s">
        <v>498</v>
      </c>
      <c r="D482" t="s">
        <v>18</v>
      </c>
      <c r="E482" t="s">
        <v>467</v>
      </c>
      <c r="F482" s="36" t="s">
        <v>467</v>
      </c>
      <c r="G482" s="31">
        <v>1</v>
      </c>
      <c r="H482" s="42">
        <v>2</v>
      </c>
      <c r="I482" t="str">
        <f>IF(H482="Track 1",IFERROR(_xlfn.XLOOKUP("*"&amp;LEFT(C482,FIND(" ",C482&amp;" ")-1)&amp;"*",'[1]Track 1'!$C$1:$C$99,'[1]Track 1'!$A$1:$A$99,,2),IFERROR(_xlfn.XLOOKUP("*"&amp;LEFT(C482,FIND(" ",C482&amp;" ")-1)&amp;"*",'[1]Track 1'!$H$1:$H$99,'[1]Track 1'!$E$1:$E$99,,2),"")),"")</f>
        <v/>
      </c>
      <c r="J482" s="15" t="s">
        <v>134</v>
      </c>
    </row>
    <row r="483" spans="1:10" ht="14.25" customHeight="1" x14ac:dyDescent="0.35">
      <c r="A483">
        <v>482</v>
      </c>
      <c r="B483">
        <v>37</v>
      </c>
      <c r="C483" t="s">
        <v>499</v>
      </c>
      <c r="D483" t="s">
        <v>18</v>
      </c>
      <c r="E483" t="s">
        <v>467</v>
      </c>
      <c r="F483" s="36" t="s">
        <v>467</v>
      </c>
      <c r="G483" s="31">
        <v>1</v>
      </c>
      <c r="H483" s="42">
        <v>2</v>
      </c>
      <c r="I483" t="str">
        <f>IF(H483="Track 1",IFERROR(_xlfn.XLOOKUP("*"&amp;LEFT(C483,FIND(" ",C483&amp;" ")-1)&amp;"*",'[1]Track 1'!$C$1:$C$99,'[1]Track 1'!$A$1:$A$99,,2),IFERROR(_xlfn.XLOOKUP("*"&amp;LEFT(C483,FIND(" ",C483&amp;" ")-1)&amp;"*",'[1]Track 1'!$H$1:$H$99,'[1]Track 1'!$E$1:$E$99,,2),"")),"")</f>
        <v/>
      </c>
      <c r="J483" s="15" t="s">
        <v>134</v>
      </c>
    </row>
    <row r="484" spans="1:10" ht="14.25" customHeight="1" x14ac:dyDescent="0.35">
      <c r="A484">
        <v>483</v>
      </c>
      <c r="B484">
        <v>38</v>
      </c>
      <c r="C484" t="s">
        <v>327</v>
      </c>
      <c r="D484" t="s">
        <v>18</v>
      </c>
      <c r="E484" t="s">
        <v>467</v>
      </c>
      <c r="F484" s="36" t="s">
        <v>467</v>
      </c>
      <c r="G484" s="31">
        <v>1</v>
      </c>
      <c r="H484" s="42">
        <v>2</v>
      </c>
      <c r="I484" t="str">
        <f>IF(H484="Track 1",IFERROR(_xlfn.XLOOKUP("*"&amp;LEFT(C484,FIND(" ",C484&amp;" ")-1)&amp;"*",'[1]Track 1'!$C$1:$C$99,'[1]Track 1'!$A$1:$A$99,,2),IFERROR(_xlfn.XLOOKUP("*"&amp;LEFT(C484,FIND(" ",C484&amp;" ")-1)&amp;"*",'[1]Track 1'!$H$1:$H$99,'[1]Track 1'!$E$1:$E$99,,2),"")),"")</f>
        <v/>
      </c>
      <c r="J484" s="15" t="s">
        <v>134</v>
      </c>
    </row>
    <row r="485" spans="1:10" ht="14.25" customHeight="1" x14ac:dyDescent="0.35">
      <c r="A485">
        <v>484</v>
      </c>
      <c r="B485">
        <v>39</v>
      </c>
      <c r="C485" t="s">
        <v>500</v>
      </c>
      <c r="D485" t="s">
        <v>333</v>
      </c>
      <c r="E485" t="s">
        <v>467</v>
      </c>
      <c r="F485" s="36" t="s">
        <v>467</v>
      </c>
      <c r="G485" s="31">
        <v>1</v>
      </c>
      <c r="H485" s="42">
        <v>2</v>
      </c>
      <c r="I485" t="str">
        <f>IF(H485="Track 1",IFERROR(_xlfn.XLOOKUP("*"&amp;LEFT(C485,FIND(" ",C485&amp;" ")-1)&amp;"*",'[1]Track 1'!$C$1:$C$99,'[1]Track 1'!$A$1:$A$99,,2),IFERROR(_xlfn.XLOOKUP("*"&amp;LEFT(C485,FIND(" ",C485&amp;" ")-1)&amp;"*",'[1]Track 1'!$H$1:$H$99,'[1]Track 1'!$E$1:$E$99,,2),"")),"")</f>
        <v/>
      </c>
      <c r="J485" s="15" t="s">
        <v>134</v>
      </c>
    </row>
    <row r="486" spans="1:10" ht="14.25" customHeight="1" x14ac:dyDescent="0.35">
      <c r="A486">
        <v>485</v>
      </c>
      <c r="B486">
        <v>40</v>
      </c>
      <c r="C486" t="s">
        <v>363</v>
      </c>
      <c r="D486" t="s">
        <v>11</v>
      </c>
      <c r="E486" t="s">
        <v>467</v>
      </c>
      <c r="F486" s="36" t="s">
        <v>467</v>
      </c>
      <c r="G486" s="31">
        <v>1</v>
      </c>
      <c r="H486" s="42">
        <v>2</v>
      </c>
      <c r="I486" t="str">
        <f>IF(H486="Track 1",IFERROR(_xlfn.XLOOKUP("*"&amp;LEFT(C486,FIND(" ",C486&amp;" ")-1)&amp;"*",'[1]Track 1'!$C$1:$C$99,'[1]Track 1'!$A$1:$A$99,,2),IFERROR(_xlfn.XLOOKUP("*"&amp;LEFT(C486,FIND(" ",C486&amp;" ")-1)&amp;"*",'[1]Track 1'!$H$1:$H$99,'[1]Track 1'!$E$1:$E$99,,2),"")),"")</f>
        <v/>
      </c>
      <c r="J486" s="15" t="s">
        <v>134</v>
      </c>
    </row>
    <row r="487" spans="1:10" ht="14.25" customHeight="1" x14ac:dyDescent="0.35">
      <c r="A487">
        <v>486</v>
      </c>
      <c r="B487">
        <v>41</v>
      </c>
      <c r="C487" t="s">
        <v>444</v>
      </c>
      <c r="D487" t="s">
        <v>18</v>
      </c>
      <c r="E487" t="s">
        <v>467</v>
      </c>
      <c r="F487" s="36" t="s">
        <v>467</v>
      </c>
      <c r="G487" s="31">
        <v>1</v>
      </c>
      <c r="H487" s="42">
        <v>2</v>
      </c>
      <c r="I487" t="str">
        <f>IF(H487="Track 1",IFERROR(_xlfn.XLOOKUP("*"&amp;LEFT(C487,FIND(" ",C487&amp;" ")-1)&amp;"*",'[1]Track 1'!$C$1:$C$99,'[1]Track 1'!$A$1:$A$99,,2),IFERROR(_xlfn.XLOOKUP("*"&amp;LEFT(C487,FIND(" ",C487&amp;" ")-1)&amp;"*",'[1]Track 1'!$H$1:$H$99,'[1]Track 1'!$E$1:$E$99,,2),"")),"")</f>
        <v/>
      </c>
      <c r="J487" s="15" t="s">
        <v>134</v>
      </c>
    </row>
    <row r="488" spans="1:10" ht="14.25" customHeight="1" x14ac:dyDescent="0.35">
      <c r="A488">
        <v>487</v>
      </c>
      <c r="B488">
        <v>42</v>
      </c>
      <c r="C488" t="s">
        <v>501</v>
      </c>
      <c r="D488" t="s">
        <v>16</v>
      </c>
      <c r="E488" t="s">
        <v>467</v>
      </c>
      <c r="F488" s="36" t="s">
        <v>467</v>
      </c>
      <c r="G488" s="31">
        <v>1</v>
      </c>
      <c r="H488" s="42">
        <v>2</v>
      </c>
      <c r="I488" t="str">
        <f>IF(H488="Track 1",IFERROR(_xlfn.XLOOKUP("*"&amp;LEFT(C488,FIND(" ",C488&amp;" ")-1)&amp;"*",'[1]Track 1'!$C$1:$C$99,'[1]Track 1'!$A$1:$A$99,,2),IFERROR(_xlfn.XLOOKUP("*"&amp;LEFT(C488,FIND(" ",C488&amp;" ")-1)&amp;"*",'[1]Track 1'!$H$1:$H$99,'[1]Track 1'!$E$1:$E$99,,2),"")),"")</f>
        <v/>
      </c>
      <c r="J488" s="15" t="s">
        <v>134</v>
      </c>
    </row>
    <row r="489" spans="1:10" ht="14.25" customHeight="1" x14ac:dyDescent="0.35">
      <c r="A489">
        <v>488</v>
      </c>
      <c r="B489">
        <v>43</v>
      </c>
      <c r="C489" t="s">
        <v>502</v>
      </c>
      <c r="D489" t="s">
        <v>18</v>
      </c>
      <c r="E489" t="s">
        <v>467</v>
      </c>
      <c r="F489" s="36" t="s">
        <v>467</v>
      </c>
      <c r="G489" s="31">
        <v>1</v>
      </c>
      <c r="H489" s="42">
        <v>2</v>
      </c>
      <c r="I489" t="str">
        <f>IF(H489="Track 1",IFERROR(_xlfn.XLOOKUP("*"&amp;LEFT(C489,FIND(" ",C489&amp;" ")-1)&amp;"*",'[1]Track 1'!$C$1:$C$99,'[1]Track 1'!$A$1:$A$99,,2),IFERROR(_xlfn.XLOOKUP("*"&amp;LEFT(C489,FIND(" ",C489&amp;" ")-1)&amp;"*",'[1]Track 1'!$H$1:$H$99,'[1]Track 1'!$E$1:$E$99,,2),"")),"")</f>
        <v/>
      </c>
      <c r="J489" s="15" t="s">
        <v>134</v>
      </c>
    </row>
    <row r="490" spans="1:10" ht="14.25" customHeight="1" x14ac:dyDescent="0.35">
      <c r="A490">
        <v>489</v>
      </c>
      <c r="B490">
        <v>44</v>
      </c>
      <c r="C490" t="s">
        <v>503</v>
      </c>
      <c r="D490" t="s">
        <v>18</v>
      </c>
      <c r="E490" t="s">
        <v>467</v>
      </c>
      <c r="F490" s="36" t="s">
        <v>467</v>
      </c>
      <c r="G490" s="31">
        <v>1</v>
      </c>
      <c r="H490" s="42">
        <v>2</v>
      </c>
      <c r="I490" t="str">
        <f>IF(H490="Track 1",IFERROR(_xlfn.XLOOKUP("*"&amp;LEFT(C490,FIND(" ",C490&amp;" ")-1)&amp;"*",'[1]Track 1'!$C$1:$C$99,'[1]Track 1'!$A$1:$A$99,,2),IFERROR(_xlfn.XLOOKUP("*"&amp;LEFT(C490,FIND(" ",C490&amp;" ")-1)&amp;"*",'[1]Track 1'!$H$1:$H$99,'[1]Track 1'!$E$1:$E$99,,2),"")),"")</f>
        <v/>
      </c>
      <c r="J490" s="15" t="s">
        <v>134</v>
      </c>
    </row>
    <row r="491" spans="1:10" ht="14.25" customHeight="1" x14ac:dyDescent="0.35">
      <c r="A491">
        <v>490</v>
      </c>
      <c r="B491">
        <v>45</v>
      </c>
      <c r="C491" t="s">
        <v>504</v>
      </c>
      <c r="D491" t="s">
        <v>39</v>
      </c>
      <c r="E491" t="s">
        <v>467</v>
      </c>
      <c r="F491" s="36" t="s">
        <v>467</v>
      </c>
      <c r="G491" s="31">
        <v>1</v>
      </c>
      <c r="H491" s="42">
        <v>2</v>
      </c>
      <c r="I491" t="str">
        <f>IF(H491="Track 1",IFERROR(_xlfn.XLOOKUP("*"&amp;LEFT(C491,FIND(" ",C491&amp;" ")-1)&amp;"*",'[1]Track 1'!$C$1:$C$99,'[1]Track 1'!$A$1:$A$99,,2),IFERROR(_xlfn.XLOOKUP("*"&amp;LEFT(C491,FIND(" ",C491&amp;" ")-1)&amp;"*",'[1]Track 1'!$H$1:$H$99,'[1]Track 1'!$E$1:$E$99,,2),"")),"")</f>
        <v/>
      </c>
      <c r="J491" s="15" t="s">
        <v>134</v>
      </c>
    </row>
    <row r="492" spans="1:10" ht="14.25" customHeight="1" x14ac:dyDescent="0.35">
      <c r="A492">
        <v>491</v>
      </c>
      <c r="B492">
        <v>46</v>
      </c>
      <c r="C492" t="s">
        <v>327</v>
      </c>
      <c r="D492" t="s">
        <v>18</v>
      </c>
      <c r="E492" t="s">
        <v>467</v>
      </c>
      <c r="F492" s="36" t="s">
        <v>467</v>
      </c>
      <c r="G492" s="31">
        <v>1</v>
      </c>
      <c r="H492" s="42">
        <v>2</v>
      </c>
      <c r="I492" t="str">
        <f>IF(H492="Track 1",IFERROR(_xlfn.XLOOKUP("*"&amp;LEFT(C492,FIND(" ",C492&amp;" ")-1)&amp;"*",'[1]Track 1'!$C$1:$C$99,'[1]Track 1'!$A$1:$A$99,,2),IFERROR(_xlfn.XLOOKUP("*"&amp;LEFT(C492,FIND(" ",C492&amp;" ")-1)&amp;"*",'[1]Track 1'!$H$1:$H$99,'[1]Track 1'!$E$1:$E$99,,2),"")),"")</f>
        <v/>
      </c>
      <c r="J492" s="15" t="s">
        <v>134</v>
      </c>
    </row>
    <row r="493" spans="1:10" ht="14.25" customHeight="1" x14ac:dyDescent="0.35">
      <c r="A493">
        <v>492</v>
      </c>
      <c r="B493">
        <v>47</v>
      </c>
      <c r="C493" t="s">
        <v>505</v>
      </c>
      <c r="D493" t="s">
        <v>18</v>
      </c>
      <c r="E493" t="s">
        <v>467</v>
      </c>
      <c r="F493" s="36" t="s">
        <v>467</v>
      </c>
      <c r="G493" s="31">
        <v>1</v>
      </c>
      <c r="H493" s="42">
        <v>2</v>
      </c>
      <c r="I493" t="str">
        <f>IF(H493="Track 1",IFERROR(_xlfn.XLOOKUP("*"&amp;LEFT(C493,FIND(" ",C493&amp;" ")-1)&amp;"*",'[1]Track 1'!$C$1:$C$99,'[1]Track 1'!$A$1:$A$99,,2),IFERROR(_xlfn.XLOOKUP("*"&amp;LEFT(C493,FIND(" ",C493&amp;" ")-1)&amp;"*",'[1]Track 1'!$H$1:$H$99,'[1]Track 1'!$E$1:$E$99,,2),"")),"")</f>
        <v/>
      </c>
      <c r="J493" s="15" t="s">
        <v>134</v>
      </c>
    </row>
    <row r="494" spans="1:10" ht="14.25" customHeight="1" x14ac:dyDescent="0.35">
      <c r="A494">
        <v>493</v>
      </c>
      <c r="B494">
        <v>48</v>
      </c>
      <c r="C494" t="s">
        <v>506</v>
      </c>
      <c r="D494" t="s">
        <v>11</v>
      </c>
      <c r="E494" t="s">
        <v>467</v>
      </c>
      <c r="F494" s="36" t="s">
        <v>467</v>
      </c>
      <c r="G494" s="31">
        <v>1</v>
      </c>
      <c r="H494" s="42">
        <v>2</v>
      </c>
      <c r="I494" t="str">
        <f>IF(H494="Track 1",IFERROR(_xlfn.XLOOKUP("*"&amp;LEFT(C494,FIND(" ",C494&amp;" ")-1)&amp;"*",'[1]Track 1'!$C$1:$C$99,'[1]Track 1'!$A$1:$A$99,,2),IFERROR(_xlfn.XLOOKUP("*"&amp;LEFT(C494,FIND(" ",C494&amp;" ")-1)&amp;"*",'[1]Track 1'!$H$1:$H$99,'[1]Track 1'!$E$1:$E$99,,2),"")),"")</f>
        <v/>
      </c>
      <c r="J494" s="15" t="s">
        <v>134</v>
      </c>
    </row>
    <row r="495" spans="1:10" ht="14.25" customHeight="1" x14ac:dyDescent="0.35">
      <c r="A495">
        <v>494</v>
      </c>
      <c r="B495">
        <v>49</v>
      </c>
      <c r="C495" t="s">
        <v>507</v>
      </c>
      <c r="D495" t="s">
        <v>150</v>
      </c>
      <c r="E495" t="s">
        <v>467</v>
      </c>
      <c r="F495" s="36" t="s">
        <v>467</v>
      </c>
      <c r="G495" s="31">
        <v>1</v>
      </c>
      <c r="H495" s="42">
        <v>2</v>
      </c>
      <c r="I495" t="str">
        <f>IF(H495="Track 1",IFERROR(_xlfn.XLOOKUP("*"&amp;LEFT(C495,FIND(" ",C495&amp;" ")-1)&amp;"*",'[1]Track 1'!$C$1:$C$99,'[1]Track 1'!$A$1:$A$99,,2),IFERROR(_xlfn.XLOOKUP("*"&amp;LEFT(C495,FIND(" ",C495&amp;" ")-1)&amp;"*",'[1]Track 1'!$H$1:$H$99,'[1]Track 1'!$E$1:$E$99,,2),"")),"")</f>
        <v/>
      </c>
      <c r="J495" s="15" t="s">
        <v>134</v>
      </c>
    </row>
    <row r="496" spans="1:10" ht="14.25" customHeight="1" x14ac:dyDescent="0.35">
      <c r="A496">
        <v>495</v>
      </c>
      <c r="B496">
        <v>50</v>
      </c>
      <c r="C496" t="s">
        <v>508</v>
      </c>
      <c r="D496" t="s">
        <v>269</v>
      </c>
      <c r="E496" t="s">
        <v>467</v>
      </c>
      <c r="F496" s="36" t="s">
        <v>467</v>
      </c>
      <c r="G496" s="31">
        <v>1</v>
      </c>
      <c r="H496" s="42">
        <v>2</v>
      </c>
      <c r="I496" t="str">
        <f>IF(H496="Track 1",IFERROR(_xlfn.XLOOKUP("*"&amp;LEFT(C496,FIND(" ",C496&amp;" ")-1)&amp;"*",'[1]Track 1'!$C$1:$C$99,'[1]Track 1'!$A$1:$A$99,,2),IFERROR(_xlfn.XLOOKUP("*"&amp;LEFT(C496,FIND(" ",C496&amp;" ")-1)&amp;"*",'[1]Track 1'!$H$1:$H$99,'[1]Track 1'!$E$1:$E$99,,2),"")),"")</f>
        <v/>
      </c>
      <c r="J496" s="15" t="s">
        <v>134</v>
      </c>
    </row>
    <row r="497" spans="1:10" ht="14.25" customHeight="1" x14ac:dyDescent="0.35">
      <c r="A497">
        <v>496</v>
      </c>
      <c r="B497">
        <v>51</v>
      </c>
      <c r="C497" t="s">
        <v>509</v>
      </c>
      <c r="D497" t="s">
        <v>16</v>
      </c>
      <c r="E497" t="s">
        <v>467</v>
      </c>
      <c r="F497" s="36" t="s">
        <v>467</v>
      </c>
      <c r="G497" s="31">
        <v>1</v>
      </c>
      <c r="H497" s="42">
        <v>2</v>
      </c>
      <c r="I497" t="str">
        <f>IF(H497="Track 1",IFERROR(_xlfn.XLOOKUP("*"&amp;LEFT(C497,FIND(" ",C497&amp;" ")-1)&amp;"*",'[1]Track 1'!$C$1:$C$99,'[1]Track 1'!$A$1:$A$99,,2),IFERROR(_xlfn.XLOOKUP("*"&amp;LEFT(C497,FIND(" ",C497&amp;" ")-1)&amp;"*",'[1]Track 1'!$H$1:$H$99,'[1]Track 1'!$E$1:$E$99,,2),"")),"")</f>
        <v/>
      </c>
      <c r="J497" s="15" t="s">
        <v>134</v>
      </c>
    </row>
    <row r="498" spans="1:10" ht="14.25" customHeight="1" x14ac:dyDescent="0.35">
      <c r="A498">
        <v>497</v>
      </c>
      <c r="B498">
        <v>52</v>
      </c>
      <c r="C498" t="s">
        <v>461</v>
      </c>
      <c r="D498" t="s">
        <v>84</v>
      </c>
      <c r="E498" t="s">
        <v>467</v>
      </c>
      <c r="F498" s="36" t="s">
        <v>467</v>
      </c>
      <c r="G498" s="31">
        <v>1</v>
      </c>
      <c r="H498" s="42">
        <v>2</v>
      </c>
      <c r="I498" t="str">
        <f>IF(H498="Track 1",IFERROR(_xlfn.XLOOKUP("*"&amp;LEFT(C498,FIND(" ",C498&amp;" ")-1)&amp;"*",'[1]Track 1'!$C$1:$C$99,'[1]Track 1'!$A$1:$A$99,,2),IFERROR(_xlfn.XLOOKUP("*"&amp;LEFT(C498,FIND(" ",C498&amp;" ")-1)&amp;"*",'[1]Track 1'!$H$1:$H$99,'[1]Track 1'!$E$1:$E$99,,2),"")),"")</f>
        <v/>
      </c>
      <c r="J498" s="15" t="s">
        <v>134</v>
      </c>
    </row>
    <row r="499" spans="1:10" ht="14.25" customHeight="1" x14ac:dyDescent="0.35">
      <c r="A499">
        <v>498</v>
      </c>
      <c r="B499">
        <v>53</v>
      </c>
      <c r="C499" t="s">
        <v>434</v>
      </c>
      <c r="D499" t="s">
        <v>39</v>
      </c>
      <c r="E499" t="s">
        <v>467</v>
      </c>
      <c r="F499" s="36" t="s">
        <v>467</v>
      </c>
      <c r="G499" s="31">
        <v>1</v>
      </c>
      <c r="H499" s="42">
        <v>2</v>
      </c>
      <c r="I499" t="str">
        <f>IF(H499="Track 1",IFERROR(_xlfn.XLOOKUP("*"&amp;LEFT(C499,FIND(" ",C499&amp;" ")-1)&amp;"*",'[1]Track 1'!$C$1:$C$99,'[1]Track 1'!$A$1:$A$99,,2),IFERROR(_xlfn.XLOOKUP("*"&amp;LEFT(C499,FIND(" ",C499&amp;" ")-1)&amp;"*",'[1]Track 1'!$H$1:$H$99,'[1]Track 1'!$E$1:$E$99,,2),"")),"")</f>
        <v/>
      </c>
      <c r="J499" s="15" t="s">
        <v>134</v>
      </c>
    </row>
    <row r="500" spans="1:10" ht="14.25" customHeight="1" x14ac:dyDescent="0.35">
      <c r="A500">
        <v>499</v>
      </c>
      <c r="B500">
        <v>54</v>
      </c>
      <c r="C500" t="s">
        <v>510</v>
      </c>
      <c r="D500" t="s">
        <v>410</v>
      </c>
      <c r="E500" t="s">
        <v>467</v>
      </c>
      <c r="F500" s="36" t="s">
        <v>467</v>
      </c>
      <c r="G500" s="31">
        <v>1</v>
      </c>
      <c r="H500" s="42">
        <v>2</v>
      </c>
      <c r="I500" t="str">
        <f>IF(H500="Track 1",IFERROR(_xlfn.XLOOKUP("*"&amp;LEFT(C500,FIND(" ",C500&amp;" ")-1)&amp;"*",'[1]Track 1'!$C$1:$C$99,'[1]Track 1'!$A$1:$A$99,,2),IFERROR(_xlfn.XLOOKUP("*"&amp;LEFT(C500,FIND(" ",C500&amp;" ")-1)&amp;"*",'[1]Track 1'!$H$1:$H$99,'[1]Track 1'!$E$1:$E$99,,2),"")),"")</f>
        <v/>
      </c>
      <c r="J500" s="15" t="s">
        <v>134</v>
      </c>
    </row>
    <row r="501" spans="1:10" ht="14.25" customHeight="1" x14ac:dyDescent="0.35">
      <c r="A501">
        <v>500</v>
      </c>
      <c r="B501">
        <v>55</v>
      </c>
      <c r="C501" t="s">
        <v>511</v>
      </c>
      <c r="D501" t="s">
        <v>512</v>
      </c>
      <c r="E501" t="s">
        <v>467</v>
      </c>
      <c r="F501" s="36" t="s">
        <v>467</v>
      </c>
      <c r="G501" s="31">
        <v>1</v>
      </c>
      <c r="H501" s="42">
        <v>2</v>
      </c>
      <c r="I501" t="str">
        <f>IF(H501="Track 1",IFERROR(_xlfn.XLOOKUP("*"&amp;LEFT(C501,FIND(" ",C501&amp;" ")-1)&amp;"*",'[1]Track 1'!$C$1:$C$99,'[1]Track 1'!$A$1:$A$99,,2),IFERROR(_xlfn.XLOOKUP("*"&amp;LEFT(C501,FIND(" ",C501&amp;" ")-1)&amp;"*",'[1]Track 1'!$H$1:$H$99,'[1]Track 1'!$E$1:$E$99,,2),"")),"")</f>
        <v/>
      </c>
      <c r="J501" s="15" t="s">
        <v>134</v>
      </c>
    </row>
    <row r="502" spans="1:10" ht="14.25" customHeight="1" x14ac:dyDescent="0.35">
      <c r="A502">
        <v>501</v>
      </c>
      <c r="B502">
        <v>56</v>
      </c>
      <c r="C502" t="s">
        <v>513</v>
      </c>
      <c r="D502" t="s">
        <v>18</v>
      </c>
      <c r="E502" t="s">
        <v>467</v>
      </c>
      <c r="F502" s="36" t="s">
        <v>467</v>
      </c>
      <c r="G502" s="31">
        <v>1</v>
      </c>
      <c r="H502" s="42">
        <v>3</v>
      </c>
      <c r="I502" t="str">
        <f>IF(H502="Track 1",IFERROR(_xlfn.XLOOKUP("*"&amp;LEFT(C502,FIND(" ",C502&amp;" ")-1)&amp;"*",'[1]Track 1'!$C$1:$C$99,'[1]Track 1'!$A$1:$A$99,,2),IFERROR(_xlfn.XLOOKUP("*"&amp;LEFT(C502,FIND(" ",C502&amp;" ")-1)&amp;"*",'[1]Track 1'!$H$1:$H$99,'[1]Track 1'!$E$1:$E$99,,2),"")),"")</f>
        <v/>
      </c>
      <c r="J502" s="15" t="s">
        <v>134</v>
      </c>
    </row>
    <row r="503" spans="1:10" ht="14.25" customHeight="1" x14ac:dyDescent="0.35">
      <c r="A503">
        <v>502</v>
      </c>
      <c r="B503">
        <v>57</v>
      </c>
      <c r="C503" t="s">
        <v>514</v>
      </c>
      <c r="D503" t="s">
        <v>39</v>
      </c>
      <c r="E503" t="s">
        <v>467</v>
      </c>
      <c r="F503" s="36" t="s">
        <v>467</v>
      </c>
      <c r="G503" s="31">
        <v>1</v>
      </c>
      <c r="H503" s="42">
        <v>3</v>
      </c>
      <c r="I503" t="str">
        <f>IF(H503="Track 1",IFERROR(_xlfn.XLOOKUP("*"&amp;LEFT(C503,FIND(" ",C503&amp;" ")-1)&amp;"*",'[1]Track 1'!$C$1:$C$99,'[1]Track 1'!$A$1:$A$99,,2),IFERROR(_xlfn.XLOOKUP("*"&amp;LEFT(C503,FIND(" ",C503&amp;" ")-1)&amp;"*",'[1]Track 1'!$H$1:$H$99,'[1]Track 1'!$E$1:$E$99,,2),"")),"")</f>
        <v/>
      </c>
      <c r="J503" s="15" t="s">
        <v>134</v>
      </c>
    </row>
    <row r="504" spans="1:10" ht="14.25" customHeight="1" x14ac:dyDescent="0.35">
      <c r="A504">
        <v>503</v>
      </c>
      <c r="B504">
        <v>58</v>
      </c>
      <c r="C504" t="s">
        <v>374</v>
      </c>
      <c r="D504" t="s">
        <v>70</v>
      </c>
      <c r="E504" t="s">
        <v>467</v>
      </c>
      <c r="F504" s="36" t="s">
        <v>467</v>
      </c>
      <c r="G504" s="31">
        <v>1</v>
      </c>
      <c r="H504" s="42">
        <v>3</v>
      </c>
      <c r="I504" t="str">
        <f>IF(H504="Track 1",IFERROR(_xlfn.XLOOKUP("*"&amp;LEFT(C504,FIND(" ",C504&amp;" ")-1)&amp;"*",'[1]Track 1'!$C$1:$C$99,'[1]Track 1'!$A$1:$A$99,,2),IFERROR(_xlfn.XLOOKUP("*"&amp;LEFT(C504,FIND(" ",C504&amp;" ")-1)&amp;"*",'[1]Track 1'!$H$1:$H$99,'[1]Track 1'!$E$1:$E$99,,2),"")),"")</f>
        <v/>
      </c>
      <c r="J504" t="s">
        <v>134</v>
      </c>
    </row>
    <row r="505" spans="1:10" ht="14.25" customHeight="1" x14ac:dyDescent="0.35">
      <c r="A505">
        <v>504</v>
      </c>
      <c r="B505">
        <v>59</v>
      </c>
      <c r="C505" t="s">
        <v>470</v>
      </c>
      <c r="D505" t="s">
        <v>39</v>
      </c>
      <c r="E505" t="s">
        <v>467</v>
      </c>
      <c r="F505" s="36" t="s">
        <v>467</v>
      </c>
      <c r="G505" s="31">
        <v>1</v>
      </c>
      <c r="H505" s="42">
        <v>3</v>
      </c>
      <c r="I505" t="str">
        <f>IF(H505="Track 1",IFERROR(_xlfn.XLOOKUP("*"&amp;LEFT(C505,FIND(" ",C505&amp;" ")-1)&amp;"*",'[1]Track 1'!$C$1:$C$99,'[1]Track 1'!$A$1:$A$99,,2),IFERROR(_xlfn.XLOOKUP("*"&amp;LEFT(C505,FIND(" ",C505&amp;" ")-1)&amp;"*",'[1]Track 1'!$H$1:$H$99,'[1]Track 1'!$E$1:$E$99,,2),"")),"")</f>
        <v/>
      </c>
      <c r="J505" s="15" t="s">
        <v>134</v>
      </c>
    </row>
    <row r="506" spans="1:10" ht="14.25" customHeight="1" x14ac:dyDescent="0.35">
      <c r="A506">
        <v>505</v>
      </c>
      <c r="B506">
        <v>60</v>
      </c>
      <c r="C506" t="s">
        <v>515</v>
      </c>
      <c r="D506" t="s">
        <v>11</v>
      </c>
      <c r="E506" t="s">
        <v>467</v>
      </c>
      <c r="F506" s="36" t="s">
        <v>467</v>
      </c>
      <c r="G506" s="31">
        <v>1</v>
      </c>
      <c r="H506" s="42">
        <v>3</v>
      </c>
      <c r="I506" t="str">
        <f>IF(H506="Track 1",IFERROR(_xlfn.XLOOKUP("*"&amp;LEFT(C506,FIND(" ",C506&amp;" ")-1)&amp;"*",'[1]Track 1'!$C$1:$C$99,'[1]Track 1'!$A$1:$A$99,,2),IFERROR(_xlfn.XLOOKUP("*"&amp;LEFT(C506,FIND(" ",C506&amp;" ")-1)&amp;"*",'[1]Track 1'!$H$1:$H$99,'[1]Track 1'!$E$1:$E$99,,2),"")),"")</f>
        <v/>
      </c>
      <c r="J506" s="15" t="s">
        <v>134</v>
      </c>
    </row>
    <row r="507" spans="1:10" ht="14.25" customHeight="1" x14ac:dyDescent="0.35">
      <c r="A507">
        <v>506</v>
      </c>
      <c r="B507">
        <v>61</v>
      </c>
      <c r="C507" t="s">
        <v>516</v>
      </c>
      <c r="D507" t="s">
        <v>16</v>
      </c>
      <c r="E507" t="s">
        <v>467</v>
      </c>
      <c r="F507" s="36" t="s">
        <v>467</v>
      </c>
      <c r="G507" s="31">
        <v>1</v>
      </c>
      <c r="H507" s="42">
        <v>3</v>
      </c>
      <c r="I507" t="str">
        <f>IF(H507="Track 1",IFERROR(_xlfn.XLOOKUP("*"&amp;LEFT(C507,FIND(" ",C507&amp;" ")-1)&amp;"*",'[1]Track 1'!$C$1:$C$99,'[1]Track 1'!$A$1:$A$99,,2),IFERROR(_xlfn.XLOOKUP("*"&amp;LEFT(C507,FIND(" ",C507&amp;" ")-1)&amp;"*",'[1]Track 1'!$H$1:$H$99,'[1]Track 1'!$E$1:$E$99,,2),"")),"")</f>
        <v/>
      </c>
      <c r="J507" s="15" t="s">
        <v>134</v>
      </c>
    </row>
    <row r="508" spans="1:10" ht="14.25" customHeight="1" x14ac:dyDescent="0.35">
      <c r="A508">
        <v>507</v>
      </c>
      <c r="B508">
        <v>62</v>
      </c>
      <c r="C508" t="s">
        <v>237</v>
      </c>
      <c r="D508" t="s">
        <v>70</v>
      </c>
      <c r="E508" t="s">
        <v>467</v>
      </c>
      <c r="F508" s="36" t="s">
        <v>467</v>
      </c>
      <c r="G508" s="31">
        <v>1</v>
      </c>
      <c r="H508" s="42">
        <v>3</v>
      </c>
      <c r="I508" t="str">
        <f>IF(H508="Track 1",IFERROR(_xlfn.XLOOKUP("*"&amp;LEFT(C508,FIND(" ",C508&amp;" ")-1)&amp;"*",'[1]Track 1'!$C$1:$C$99,'[1]Track 1'!$A$1:$A$99,,2),IFERROR(_xlfn.XLOOKUP("*"&amp;LEFT(C508,FIND(" ",C508&amp;" ")-1)&amp;"*",'[1]Track 1'!$H$1:$H$99,'[1]Track 1'!$E$1:$E$99,,2),"")),"")</f>
        <v/>
      </c>
      <c r="J508" t="s">
        <v>134</v>
      </c>
    </row>
    <row r="509" spans="1:10" ht="14.25" customHeight="1" x14ac:dyDescent="0.35">
      <c r="A509">
        <v>508</v>
      </c>
      <c r="B509">
        <v>63</v>
      </c>
      <c r="C509" t="s">
        <v>470</v>
      </c>
      <c r="D509" t="s">
        <v>39</v>
      </c>
      <c r="E509" t="s">
        <v>467</v>
      </c>
      <c r="F509" s="36" t="s">
        <v>467</v>
      </c>
      <c r="G509" s="31">
        <v>1</v>
      </c>
      <c r="H509" s="42">
        <v>3</v>
      </c>
      <c r="I509" t="str">
        <f>IF(H509="Track 1",IFERROR(_xlfn.XLOOKUP("*"&amp;LEFT(C509,FIND(" ",C509&amp;" ")-1)&amp;"*",'[1]Track 1'!$C$1:$C$99,'[1]Track 1'!$A$1:$A$99,,2),IFERROR(_xlfn.XLOOKUP("*"&amp;LEFT(C509,FIND(" ",C509&amp;" ")-1)&amp;"*",'[1]Track 1'!$H$1:$H$99,'[1]Track 1'!$E$1:$E$99,,2),"")),"")</f>
        <v/>
      </c>
      <c r="J509" s="15" t="s">
        <v>134</v>
      </c>
    </row>
    <row r="510" spans="1:10" ht="14.25" customHeight="1" x14ac:dyDescent="0.35">
      <c r="A510">
        <v>509</v>
      </c>
      <c r="B510">
        <v>64</v>
      </c>
      <c r="C510" t="s">
        <v>517</v>
      </c>
      <c r="D510" t="s">
        <v>18</v>
      </c>
      <c r="E510" t="s">
        <v>467</v>
      </c>
      <c r="F510" s="36" t="s">
        <v>467</v>
      </c>
      <c r="G510" s="31">
        <v>1</v>
      </c>
      <c r="H510" s="42">
        <v>3</v>
      </c>
      <c r="I510" t="str">
        <f>IF(H510="Track 1",IFERROR(_xlfn.XLOOKUP("*"&amp;LEFT(C510,FIND(" ",C510&amp;" ")-1)&amp;"*",'[1]Track 1'!$C$1:$C$99,'[1]Track 1'!$A$1:$A$99,,2),IFERROR(_xlfn.XLOOKUP("*"&amp;LEFT(C510,FIND(" ",C510&amp;" ")-1)&amp;"*",'[1]Track 1'!$H$1:$H$99,'[1]Track 1'!$E$1:$E$99,,2),"")),"")</f>
        <v/>
      </c>
      <c r="J510" s="15" t="s">
        <v>134</v>
      </c>
    </row>
    <row r="511" spans="1:10" ht="14.25" customHeight="1" x14ac:dyDescent="0.35">
      <c r="A511">
        <v>510</v>
      </c>
      <c r="B511">
        <v>65</v>
      </c>
      <c r="C511" t="s">
        <v>518</v>
      </c>
      <c r="D511" t="s">
        <v>39</v>
      </c>
      <c r="E511" t="s">
        <v>467</v>
      </c>
      <c r="F511" s="36" t="s">
        <v>467</v>
      </c>
      <c r="G511" s="31">
        <v>1</v>
      </c>
      <c r="H511" s="42">
        <v>3</v>
      </c>
      <c r="I511" t="str">
        <f>IF(H511="Track 1",IFERROR(_xlfn.XLOOKUP("*"&amp;LEFT(C511,FIND(" ",C511&amp;" ")-1)&amp;"*",'[1]Track 1'!$C$1:$C$99,'[1]Track 1'!$A$1:$A$99,,2),IFERROR(_xlfn.XLOOKUP("*"&amp;LEFT(C511,FIND(" ",C511&amp;" ")-1)&amp;"*",'[1]Track 1'!$H$1:$H$99,'[1]Track 1'!$E$1:$E$99,,2),"")),"")</f>
        <v/>
      </c>
      <c r="J511" s="15" t="s">
        <v>134</v>
      </c>
    </row>
    <row r="512" spans="1:10" ht="14.25" customHeight="1" x14ac:dyDescent="0.35">
      <c r="A512">
        <v>511</v>
      </c>
      <c r="B512">
        <v>66</v>
      </c>
      <c r="C512" t="s">
        <v>519</v>
      </c>
      <c r="D512" t="s">
        <v>39</v>
      </c>
      <c r="E512" t="s">
        <v>467</v>
      </c>
      <c r="F512" s="36" t="s">
        <v>467</v>
      </c>
      <c r="G512" s="31">
        <v>1</v>
      </c>
      <c r="H512" s="42">
        <v>3</v>
      </c>
      <c r="I512" t="str">
        <f>IF(H512="Track 1",IFERROR(_xlfn.XLOOKUP("*"&amp;LEFT(C512,FIND(" ",C512&amp;" ")-1)&amp;"*",'[1]Track 1'!$C$1:$C$99,'[1]Track 1'!$A$1:$A$99,,2),IFERROR(_xlfn.XLOOKUP("*"&amp;LEFT(C512,FIND(" ",C512&amp;" ")-1)&amp;"*",'[1]Track 1'!$H$1:$H$99,'[1]Track 1'!$E$1:$E$99,,2),"")),"")</f>
        <v/>
      </c>
      <c r="J512" s="15" t="s">
        <v>134</v>
      </c>
    </row>
    <row r="513" spans="1:10" ht="14.25" customHeight="1" x14ac:dyDescent="0.35">
      <c r="A513">
        <v>512</v>
      </c>
      <c r="B513">
        <v>67</v>
      </c>
      <c r="C513" t="s">
        <v>520</v>
      </c>
      <c r="D513" t="s">
        <v>521</v>
      </c>
      <c r="E513" t="s">
        <v>467</v>
      </c>
      <c r="F513" s="36" t="s">
        <v>467</v>
      </c>
      <c r="G513" s="31">
        <v>1</v>
      </c>
      <c r="H513" s="42">
        <v>3</v>
      </c>
      <c r="I513" t="str">
        <f>IF(H513="Track 1",IFERROR(_xlfn.XLOOKUP("*"&amp;LEFT(C513,FIND(" ",C513&amp;" ")-1)&amp;"*",'[1]Track 1'!$C$1:$C$99,'[1]Track 1'!$A$1:$A$99,,2),IFERROR(_xlfn.XLOOKUP("*"&amp;LEFT(C513,FIND(" ",C513&amp;" ")-1)&amp;"*",'[1]Track 1'!$H$1:$H$99,'[1]Track 1'!$E$1:$E$99,,2),"")),"")</f>
        <v/>
      </c>
      <c r="J513" s="15" t="s">
        <v>134</v>
      </c>
    </row>
    <row r="514" spans="1:10" ht="14.25" customHeight="1" x14ac:dyDescent="0.35">
      <c r="A514">
        <v>513</v>
      </c>
      <c r="B514">
        <v>68</v>
      </c>
      <c r="C514" t="s">
        <v>452</v>
      </c>
      <c r="D514" t="s">
        <v>150</v>
      </c>
      <c r="E514" t="s">
        <v>467</v>
      </c>
      <c r="F514" s="36" t="s">
        <v>467</v>
      </c>
      <c r="G514" s="31">
        <v>1</v>
      </c>
      <c r="H514" s="42">
        <v>3</v>
      </c>
      <c r="I514" t="str">
        <f>IF(H514="Track 1",IFERROR(_xlfn.XLOOKUP("*"&amp;LEFT(C514,FIND(" ",C514&amp;" ")-1)&amp;"*",'[1]Track 1'!$C$1:$C$99,'[1]Track 1'!$A$1:$A$99,,2),IFERROR(_xlfn.XLOOKUP("*"&amp;LEFT(C514,FIND(" ",C514&amp;" ")-1)&amp;"*",'[1]Track 1'!$H$1:$H$99,'[1]Track 1'!$E$1:$E$99,,2),"")),"")</f>
        <v/>
      </c>
      <c r="J514" s="15" t="s">
        <v>134</v>
      </c>
    </row>
    <row r="515" spans="1:10" ht="14.25" customHeight="1" x14ac:dyDescent="0.35">
      <c r="A515">
        <v>514</v>
      </c>
      <c r="B515">
        <v>69</v>
      </c>
      <c r="C515" t="s">
        <v>522</v>
      </c>
      <c r="D515" t="s">
        <v>425</v>
      </c>
      <c r="E515" t="s">
        <v>467</v>
      </c>
      <c r="F515" s="36" t="s">
        <v>467</v>
      </c>
      <c r="G515" s="31">
        <v>1</v>
      </c>
      <c r="H515" s="42">
        <v>3</v>
      </c>
      <c r="I515" t="str">
        <f>IF(H515="Track 1",IFERROR(_xlfn.XLOOKUP("*"&amp;LEFT(C515,FIND(" ",C515&amp;" ")-1)&amp;"*",'[1]Track 1'!$C$1:$C$99,'[1]Track 1'!$A$1:$A$99,,2),IFERROR(_xlfn.XLOOKUP("*"&amp;LEFT(C515,FIND(" ",C515&amp;" ")-1)&amp;"*",'[1]Track 1'!$H$1:$H$99,'[1]Track 1'!$E$1:$E$99,,2),"")),"")</f>
        <v/>
      </c>
      <c r="J515" s="15" t="s">
        <v>134</v>
      </c>
    </row>
    <row r="516" spans="1:10" ht="14.25" customHeight="1" x14ac:dyDescent="0.35">
      <c r="A516">
        <v>515</v>
      </c>
      <c r="B516">
        <v>70</v>
      </c>
      <c r="C516" t="s">
        <v>424</v>
      </c>
      <c r="D516" t="s">
        <v>425</v>
      </c>
      <c r="E516" t="s">
        <v>467</v>
      </c>
      <c r="F516" s="36" t="s">
        <v>467</v>
      </c>
      <c r="G516" s="31">
        <v>1</v>
      </c>
      <c r="H516" s="42">
        <v>3</v>
      </c>
      <c r="I516" t="str">
        <f>IF(H516="Track 1",IFERROR(_xlfn.XLOOKUP("*"&amp;LEFT(C516,FIND(" ",C516&amp;" ")-1)&amp;"*",'[1]Track 1'!$C$1:$C$99,'[1]Track 1'!$A$1:$A$99,,2),IFERROR(_xlfn.XLOOKUP("*"&amp;LEFT(C516,FIND(" ",C516&amp;" ")-1)&amp;"*",'[1]Track 1'!$H$1:$H$99,'[1]Track 1'!$E$1:$E$99,,2),"")),"")</f>
        <v/>
      </c>
      <c r="J516" s="15" t="s">
        <v>134</v>
      </c>
    </row>
    <row r="517" spans="1:10" ht="14.25" customHeight="1" x14ac:dyDescent="0.35">
      <c r="A517">
        <v>516</v>
      </c>
      <c r="B517">
        <v>71</v>
      </c>
      <c r="C517" t="s">
        <v>522</v>
      </c>
      <c r="D517" t="s">
        <v>425</v>
      </c>
      <c r="E517" t="s">
        <v>467</v>
      </c>
      <c r="F517" s="36" t="s">
        <v>467</v>
      </c>
      <c r="G517" s="31">
        <v>1</v>
      </c>
      <c r="H517" s="42">
        <v>3</v>
      </c>
      <c r="I517" t="str">
        <f>IF(H517="Track 1",IFERROR(_xlfn.XLOOKUP("*"&amp;LEFT(C517,FIND(" ",C517&amp;" ")-1)&amp;"*",'[1]Track 1'!$C$1:$C$99,'[1]Track 1'!$A$1:$A$99,,2),IFERROR(_xlfn.XLOOKUP("*"&amp;LEFT(C517,FIND(" ",C517&amp;" ")-1)&amp;"*",'[1]Track 1'!$H$1:$H$99,'[1]Track 1'!$E$1:$E$99,,2),"")),"")</f>
        <v/>
      </c>
      <c r="J517" s="15" t="s">
        <v>134</v>
      </c>
    </row>
    <row r="518" spans="1:10" ht="14.25" customHeight="1" x14ac:dyDescent="0.35">
      <c r="A518">
        <v>517</v>
      </c>
      <c r="B518">
        <v>72</v>
      </c>
      <c r="C518" t="s">
        <v>523</v>
      </c>
      <c r="D518" t="s">
        <v>247</v>
      </c>
      <c r="E518" t="s">
        <v>467</v>
      </c>
      <c r="F518" s="36" t="s">
        <v>467</v>
      </c>
      <c r="G518" s="31">
        <v>1</v>
      </c>
      <c r="H518" s="42">
        <v>3</v>
      </c>
      <c r="I518" t="str">
        <f>IF(H518="Track 1",IFERROR(_xlfn.XLOOKUP("*"&amp;LEFT(C518,FIND(" ",C518&amp;" ")-1)&amp;"*",'[1]Track 1'!$C$1:$C$99,'[1]Track 1'!$A$1:$A$99,,2),IFERROR(_xlfn.XLOOKUP("*"&amp;LEFT(C518,FIND(" ",C518&amp;" ")-1)&amp;"*",'[1]Track 1'!$H$1:$H$99,'[1]Track 1'!$E$1:$E$99,,2),"")),"")</f>
        <v/>
      </c>
      <c r="J518" s="15" t="s">
        <v>134</v>
      </c>
    </row>
    <row r="519" spans="1:10" ht="14.25" customHeight="1" x14ac:dyDescent="0.35">
      <c r="A519">
        <v>518</v>
      </c>
      <c r="B519">
        <v>73</v>
      </c>
      <c r="C519" t="s">
        <v>524</v>
      </c>
      <c r="D519" t="s">
        <v>262</v>
      </c>
      <c r="E519" t="s">
        <v>467</v>
      </c>
      <c r="F519" s="36" t="s">
        <v>467</v>
      </c>
      <c r="G519" s="31">
        <v>1</v>
      </c>
      <c r="H519" s="42">
        <v>3</v>
      </c>
      <c r="I519" t="str">
        <f>IF(H519="Track 1",IFERROR(_xlfn.XLOOKUP("*"&amp;LEFT(C519,FIND(" ",C519&amp;" ")-1)&amp;"*",'[1]Track 1'!$C$1:$C$99,'[1]Track 1'!$A$1:$A$99,,2),IFERROR(_xlfn.XLOOKUP("*"&amp;LEFT(C519,FIND(" ",C519&amp;" ")-1)&amp;"*",'[1]Track 1'!$H$1:$H$99,'[1]Track 1'!$E$1:$E$99,,2),"")),"")</f>
        <v/>
      </c>
      <c r="J519" s="15" t="s">
        <v>134</v>
      </c>
    </row>
    <row r="520" spans="1:10" ht="14.25" customHeight="1" x14ac:dyDescent="0.35">
      <c r="A520">
        <v>519</v>
      </c>
      <c r="B520">
        <v>74</v>
      </c>
      <c r="C520" t="s">
        <v>256</v>
      </c>
      <c r="D520" t="s">
        <v>39</v>
      </c>
      <c r="E520" t="s">
        <v>467</v>
      </c>
      <c r="F520" s="36" t="s">
        <v>467</v>
      </c>
      <c r="G520" s="31">
        <v>1</v>
      </c>
      <c r="H520" s="42">
        <v>3</v>
      </c>
      <c r="I520" t="str">
        <f>IF(H520="Track 1",IFERROR(_xlfn.XLOOKUP("*"&amp;LEFT(C520,FIND(" ",C520&amp;" ")-1)&amp;"*",'[1]Track 1'!$C$1:$C$99,'[1]Track 1'!$A$1:$A$99,,2),IFERROR(_xlfn.XLOOKUP("*"&amp;LEFT(C520,FIND(" ",C520&amp;" ")-1)&amp;"*",'[1]Track 1'!$H$1:$H$99,'[1]Track 1'!$E$1:$E$99,,2),"")),"")</f>
        <v/>
      </c>
      <c r="J520" s="15" t="s">
        <v>134</v>
      </c>
    </row>
    <row r="521" spans="1:10" ht="14.25" customHeight="1" x14ac:dyDescent="0.35">
      <c r="A521">
        <v>520</v>
      </c>
      <c r="B521">
        <v>75</v>
      </c>
      <c r="C521" t="s">
        <v>525</v>
      </c>
      <c r="D521" t="s">
        <v>247</v>
      </c>
      <c r="E521" t="s">
        <v>467</v>
      </c>
      <c r="F521" s="36" t="s">
        <v>467</v>
      </c>
      <c r="G521" s="31">
        <v>1</v>
      </c>
      <c r="H521" s="42">
        <v>3</v>
      </c>
      <c r="I521" t="str">
        <f>IF(H521="Track 1",IFERROR(_xlfn.XLOOKUP("*"&amp;LEFT(C521,FIND(" ",C521&amp;" ")-1)&amp;"*",'[1]Track 1'!$C$1:$C$99,'[1]Track 1'!$A$1:$A$99,,2),IFERROR(_xlfn.XLOOKUP("*"&amp;LEFT(C521,FIND(" ",C521&amp;" ")-1)&amp;"*",'[1]Track 1'!$H$1:$H$99,'[1]Track 1'!$E$1:$E$99,,2),"")),"")</f>
        <v/>
      </c>
      <c r="J521" s="15" t="s">
        <v>134</v>
      </c>
    </row>
    <row r="522" spans="1:10" ht="14.25" customHeight="1" x14ac:dyDescent="0.35">
      <c r="A522">
        <v>521</v>
      </c>
      <c r="B522">
        <v>76</v>
      </c>
      <c r="C522" t="s">
        <v>526</v>
      </c>
      <c r="D522" t="s">
        <v>150</v>
      </c>
      <c r="E522" t="s">
        <v>467</v>
      </c>
      <c r="F522" s="36" t="s">
        <v>467</v>
      </c>
      <c r="G522" s="31">
        <v>1</v>
      </c>
      <c r="H522" s="42">
        <v>3</v>
      </c>
      <c r="I522" t="str">
        <f>IF(H522="Track 1",IFERROR(_xlfn.XLOOKUP("*"&amp;LEFT(C522,FIND(" ",C522&amp;" ")-1)&amp;"*",'[1]Track 1'!$C$1:$C$99,'[1]Track 1'!$A$1:$A$99,,2),IFERROR(_xlfn.XLOOKUP("*"&amp;LEFT(C522,FIND(" ",C522&amp;" ")-1)&amp;"*",'[1]Track 1'!$H$1:$H$99,'[1]Track 1'!$E$1:$E$99,,2),"")),"")</f>
        <v/>
      </c>
      <c r="J522" s="15" t="s">
        <v>134</v>
      </c>
    </row>
    <row r="523" spans="1:10" ht="14.25" customHeight="1" x14ac:dyDescent="0.35">
      <c r="A523">
        <v>522</v>
      </c>
      <c r="B523">
        <v>77</v>
      </c>
      <c r="C523" t="s">
        <v>526</v>
      </c>
      <c r="D523" t="s">
        <v>150</v>
      </c>
      <c r="E523" t="s">
        <v>467</v>
      </c>
      <c r="F523" s="36" t="s">
        <v>467</v>
      </c>
      <c r="G523" s="31">
        <v>1</v>
      </c>
      <c r="H523" s="42">
        <v>3</v>
      </c>
      <c r="I523" t="str">
        <f>IF(H523="Track 1",IFERROR(_xlfn.XLOOKUP("*"&amp;LEFT(C523,FIND(" ",C523&amp;" ")-1)&amp;"*",'[1]Track 1'!$C$1:$C$99,'[1]Track 1'!$A$1:$A$99,,2),IFERROR(_xlfn.XLOOKUP("*"&amp;LEFT(C523,FIND(" ",C523&amp;" ")-1)&amp;"*",'[1]Track 1'!$H$1:$H$99,'[1]Track 1'!$E$1:$E$99,,2),"")),"")</f>
        <v/>
      </c>
      <c r="J523" s="15" t="s">
        <v>134</v>
      </c>
    </row>
    <row r="524" spans="1:10" ht="14.25" customHeight="1" x14ac:dyDescent="0.35">
      <c r="A524">
        <v>523</v>
      </c>
      <c r="B524">
        <v>78</v>
      </c>
      <c r="C524" t="s">
        <v>527</v>
      </c>
      <c r="D524" t="s">
        <v>39</v>
      </c>
      <c r="E524" t="s">
        <v>467</v>
      </c>
      <c r="F524" s="36" t="s">
        <v>467</v>
      </c>
      <c r="G524" s="31">
        <v>1</v>
      </c>
      <c r="H524" s="42">
        <v>3</v>
      </c>
      <c r="I524" t="str">
        <f>IF(H524="Track 1",IFERROR(_xlfn.XLOOKUP("*"&amp;LEFT(C524,FIND(" ",C524&amp;" ")-1)&amp;"*",'[1]Track 1'!$C$1:$C$99,'[1]Track 1'!$A$1:$A$99,,2),IFERROR(_xlfn.XLOOKUP("*"&amp;LEFT(C524,FIND(" ",C524&amp;" ")-1)&amp;"*",'[1]Track 1'!$H$1:$H$99,'[1]Track 1'!$E$1:$E$99,,2),"")),"")</f>
        <v/>
      </c>
      <c r="J524" s="15" t="s">
        <v>134</v>
      </c>
    </row>
    <row r="525" spans="1:10" ht="14.25" customHeight="1" x14ac:dyDescent="0.35">
      <c r="A525">
        <v>524</v>
      </c>
      <c r="B525">
        <v>79</v>
      </c>
      <c r="C525" t="s">
        <v>528</v>
      </c>
      <c r="D525" t="s">
        <v>188</v>
      </c>
      <c r="E525" t="s">
        <v>467</v>
      </c>
      <c r="F525" s="36" t="s">
        <v>467</v>
      </c>
      <c r="G525" s="31">
        <v>1</v>
      </c>
      <c r="H525" s="42">
        <v>3</v>
      </c>
      <c r="I525" t="str">
        <f>IF(H525="Track 1",IFERROR(_xlfn.XLOOKUP("*"&amp;LEFT(C525,FIND(" ",C525&amp;" ")-1)&amp;"*",'[1]Track 1'!$C$1:$C$99,'[1]Track 1'!$A$1:$A$99,,2),IFERROR(_xlfn.XLOOKUP("*"&amp;LEFT(C525,FIND(" ",C525&amp;" ")-1)&amp;"*",'[1]Track 1'!$H$1:$H$99,'[1]Track 1'!$E$1:$E$99,,2),"")),"")</f>
        <v/>
      </c>
      <c r="J525" s="15" t="s">
        <v>134</v>
      </c>
    </row>
    <row r="526" spans="1:10" ht="14.25" customHeight="1" x14ac:dyDescent="0.35">
      <c r="A526">
        <v>525</v>
      </c>
      <c r="B526">
        <v>80</v>
      </c>
      <c r="C526" t="s">
        <v>529</v>
      </c>
      <c r="D526" t="s">
        <v>75</v>
      </c>
      <c r="E526" t="s">
        <v>467</v>
      </c>
      <c r="F526" s="36" t="s">
        <v>467</v>
      </c>
      <c r="G526" s="31">
        <v>1</v>
      </c>
      <c r="H526" s="42">
        <v>3</v>
      </c>
      <c r="I526" t="str">
        <f>IF(H526="Track 1",IFERROR(_xlfn.XLOOKUP("*"&amp;LEFT(C526,FIND(" ",C526&amp;" ")-1)&amp;"*",'[1]Track 1'!$C$1:$C$99,'[1]Track 1'!$A$1:$A$99,,2),IFERROR(_xlfn.XLOOKUP("*"&amp;LEFT(C526,FIND(" ",C526&amp;" ")-1)&amp;"*",'[1]Track 1'!$H$1:$H$99,'[1]Track 1'!$E$1:$E$99,,2),"")),"")</f>
        <v/>
      </c>
      <c r="J526" s="15" t="s">
        <v>134</v>
      </c>
    </row>
    <row r="527" spans="1:10" ht="14.25" customHeight="1" x14ac:dyDescent="0.35">
      <c r="A527">
        <v>526</v>
      </c>
      <c r="B527">
        <v>81</v>
      </c>
      <c r="C527" t="s">
        <v>530</v>
      </c>
      <c r="D527" t="s">
        <v>51</v>
      </c>
      <c r="E527" t="s">
        <v>467</v>
      </c>
      <c r="F527" s="36" t="s">
        <v>467</v>
      </c>
      <c r="G527" s="31">
        <v>1</v>
      </c>
      <c r="H527" s="42">
        <v>3</v>
      </c>
      <c r="I527" t="str">
        <f>IF(H527="Track 1",IFERROR(_xlfn.XLOOKUP("*"&amp;LEFT(C527,FIND(" ",C527&amp;" ")-1)&amp;"*",'[1]Track 1'!$C$1:$C$99,'[1]Track 1'!$A$1:$A$99,,2),IFERROR(_xlfn.XLOOKUP("*"&amp;LEFT(C527,FIND(" ",C527&amp;" ")-1)&amp;"*",'[1]Track 1'!$H$1:$H$99,'[1]Track 1'!$E$1:$E$99,,2),"")),"")</f>
        <v/>
      </c>
      <c r="J527" s="15" t="s">
        <v>134</v>
      </c>
    </row>
    <row r="528" spans="1:10" ht="14.25" customHeight="1" x14ac:dyDescent="0.35">
      <c r="A528">
        <v>527</v>
      </c>
      <c r="B528">
        <v>82</v>
      </c>
      <c r="C528" t="s">
        <v>374</v>
      </c>
      <c r="D528" t="s">
        <v>70</v>
      </c>
      <c r="E528" t="s">
        <v>467</v>
      </c>
      <c r="F528" s="36" t="s">
        <v>467</v>
      </c>
      <c r="G528" s="31">
        <v>1</v>
      </c>
      <c r="H528" s="42">
        <v>3</v>
      </c>
      <c r="I528" t="str">
        <f>IF(H528="Track 1",IFERROR(_xlfn.XLOOKUP("*"&amp;LEFT(C528,FIND(" ",C528&amp;" ")-1)&amp;"*",'[1]Track 1'!$C$1:$C$99,'[1]Track 1'!$A$1:$A$99,,2),IFERROR(_xlfn.XLOOKUP("*"&amp;LEFT(C528,FIND(" ",C528&amp;" ")-1)&amp;"*",'[1]Track 1'!$H$1:$H$99,'[1]Track 1'!$E$1:$E$99,,2),"")),"")</f>
        <v/>
      </c>
      <c r="J528" s="15" t="s">
        <v>134</v>
      </c>
    </row>
    <row r="529" spans="1:10" ht="14.25" customHeight="1" x14ac:dyDescent="0.35">
      <c r="A529">
        <v>528</v>
      </c>
      <c r="B529">
        <v>83</v>
      </c>
      <c r="C529" t="s">
        <v>531</v>
      </c>
      <c r="D529" t="s">
        <v>16</v>
      </c>
      <c r="E529" t="s">
        <v>467</v>
      </c>
      <c r="F529" s="36" t="s">
        <v>467</v>
      </c>
      <c r="G529" s="31">
        <v>1</v>
      </c>
      <c r="H529" s="42">
        <v>3</v>
      </c>
      <c r="I529" t="str">
        <f>IF(H529="Track 1",IFERROR(_xlfn.XLOOKUP("*"&amp;LEFT(C529,FIND(" ",C529&amp;" ")-1)&amp;"*",'[1]Track 1'!$C$1:$C$99,'[1]Track 1'!$A$1:$A$99,,2),IFERROR(_xlfn.XLOOKUP("*"&amp;LEFT(C529,FIND(" ",C529&amp;" ")-1)&amp;"*",'[1]Track 1'!$H$1:$H$99,'[1]Track 1'!$E$1:$E$99,,2),"")),"")</f>
        <v/>
      </c>
      <c r="J529" s="15" t="s">
        <v>134</v>
      </c>
    </row>
    <row r="530" spans="1:10" ht="14.25" customHeight="1" x14ac:dyDescent="0.35">
      <c r="A530">
        <v>529</v>
      </c>
      <c r="B530">
        <v>84</v>
      </c>
      <c r="C530" t="s">
        <v>444</v>
      </c>
      <c r="D530" t="s">
        <v>18</v>
      </c>
      <c r="E530" t="s">
        <v>467</v>
      </c>
      <c r="F530" s="36" t="s">
        <v>467</v>
      </c>
      <c r="G530" s="31">
        <v>1</v>
      </c>
      <c r="H530" s="42">
        <v>3</v>
      </c>
      <c r="I530" t="str">
        <f>IF(H530="Track 1",IFERROR(_xlfn.XLOOKUP("*"&amp;LEFT(C530,FIND(" ",C530&amp;" ")-1)&amp;"*",'[1]Track 1'!$C$1:$C$99,'[1]Track 1'!$A$1:$A$99,,2),IFERROR(_xlfn.XLOOKUP("*"&amp;LEFT(C530,FIND(" ",C530&amp;" ")-1)&amp;"*",'[1]Track 1'!$H$1:$H$99,'[1]Track 1'!$E$1:$E$99,,2),"")),"")</f>
        <v/>
      </c>
      <c r="J530" s="15" t="s">
        <v>134</v>
      </c>
    </row>
    <row r="531" spans="1:10" ht="14.25" customHeight="1" x14ac:dyDescent="0.35">
      <c r="A531">
        <v>530</v>
      </c>
      <c r="B531">
        <v>85</v>
      </c>
      <c r="C531" t="s">
        <v>495</v>
      </c>
      <c r="D531" t="s">
        <v>496</v>
      </c>
      <c r="E531" t="s">
        <v>467</v>
      </c>
      <c r="F531" s="36" t="s">
        <v>467</v>
      </c>
      <c r="G531" s="31">
        <v>1</v>
      </c>
      <c r="H531" s="42">
        <v>3</v>
      </c>
      <c r="I531" t="str">
        <f>IF(H531="Track 1",IFERROR(_xlfn.XLOOKUP("*"&amp;LEFT(C531,FIND(" ",C531&amp;" ")-1)&amp;"*",'[1]Track 1'!$C$1:$C$99,'[1]Track 1'!$A$1:$A$99,,2),IFERROR(_xlfn.XLOOKUP("*"&amp;LEFT(C531,FIND(" ",C531&amp;" ")-1)&amp;"*",'[1]Track 1'!$H$1:$H$99,'[1]Track 1'!$E$1:$E$99,,2),"")),"")</f>
        <v/>
      </c>
      <c r="J531" s="15" t="s">
        <v>134</v>
      </c>
    </row>
    <row r="532" spans="1:10" ht="14.25" customHeight="1" x14ac:dyDescent="0.35">
      <c r="A532">
        <v>531</v>
      </c>
      <c r="B532">
        <v>86</v>
      </c>
      <c r="C532" t="s">
        <v>532</v>
      </c>
      <c r="D532" t="s">
        <v>269</v>
      </c>
      <c r="E532" t="s">
        <v>467</v>
      </c>
      <c r="F532" s="36" t="s">
        <v>467</v>
      </c>
      <c r="G532" s="31">
        <v>1</v>
      </c>
      <c r="H532" s="42">
        <v>3</v>
      </c>
      <c r="I532" t="str">
        <f>IF(H532="Track 1",IFERROR(_xlfn.XLOOKUP("*"&amp;LEFT(C532,FIND(" ",C532&amp;" ")-1)&amp;"*",'[1]Track 1'!$C$1:$C$99,'[1]Track 1'!$A$1:$A$99,,2),IFERROR(_xlfn.XLOOKUP("*"&amp;LEFT(C532,FIND(" ",C532&amp;" ")-1)&amp;"*",'[1]Track 1'!$H$1:$H$99,'[1]Track 1'!$E$1:$E$99,,2),"")),"")</f>
        <v/>
      </c>
      <c r="J532" s="15" t="s">
        <v>134</v>
      </c>
    </row>
    <row r="533" spans="1:10" ht="14.25" customHeight="1" x14ac:dyDescent="0.35">
      <c r="A533">
        <v>532</v>
      </c>
      <c r="B533">
        <v>87</v>
      </c>
      <c r="C533" t="s">
        <v>533</v>
      </c>
      <c r="D533" t="s">
        <v>534</v>
      </c>
      <c r="E533" t="s">
        <v>467</v>
      </c>
      <c r="F533" s="36" t="s">
        <v>467</v>
      </c>
      <c r="G533" s="31">
        <v>1</v>
      </c>
      <c r="H533" s="42">
        <v>3</v>
      </c>
      <c r="I533" t="str">
        <f>IF(H533="Track 1",IFERROR(_xlfn.XLOOKUP("*"&amp;LEFT(C533,FIND(" ",C533&amp;" ")-1)&amp;"*",'[1]Track 1'!$C$1:$C$99,'[1]Track 1'!$A$1:$A$99,,2),IFERROR(_xlfn.XLOOKUP("*"&amp;LEFT(C533,FIND(" ",C533&amp;" ")-1)&amp;"*",'[1]Track 1'!$H$1:$H$99,'[1]Track 1'!$E$1:$E$99,,2),"")),"")</f>
        <v/>
      </c>
      <c r="J533" s="15" t="s">
        <v>134</v>
      </c>
    </row>
    <row r="534" spans="1:10" ht="14.25" customHeight="1" x14ac:dyDescent="0.35">
      <c r="A534">
        <v>533</v>
      </c>
      <c r="B534">
        <v>88</v>
      </c>
      <c r="C534" t="s">
        <v>461</v>
      </c>
      <c r="D534" t="s">
        <v>84</v>
      </c>
      <c r="E534" t="s">
        <v>467</v>
      </c>
      <c r="F534" s="36" t="s">
        <v>467</v>
      </c>
      <c r="G534" s="31">
        <v>1</v>
      </c>
      <c r="H534" s="42">
        <v>3</v>
      </c>
      <c r="I534" t="str">
        <f>IF(H534="Track 1",IFERROR(_xlfn.XLOOKUP("*"&amp;LEFT(C534,FIND(" ",C534&amp;" ")-1)&amp;"*",'[1]Track 1'!$C$1:$C$99,'[1]Track 1'!$A$1:$A$99,,2),IFERROR(_xlfn.XLOOKUP("*"&amp;LEFT(C534,FIND(" ",C534&amp;" ")-1)&amp;"*",'[1]Track 1'!$H$1:$H$99,'[1]Track 1'!$E$1:$E$99,,2),"")),"")</f>
        <v/>
      </c>
      <c r="J534" s="15" t="s">
        <v>134</v>
      </c>
    </row>
    <row r="535" spans="1:10" ht="14.25" customHeight="1" x14ac:dyDescent="0.35">
      <c r="A535">
        <v>534</v>
      </c>
      <c r="B535">
        <v>89</v>
      </c>
      <c r="C535" t="s">
        <v>461</v>
      </c>
      <c r="D535" t="s">
        <v>84</v>
      </c>
      <c r="E535" t="s">
        <v>467</v>
      </c>
      <c r="F535" s="36" t="s">
        <v>467</v>
      </c>
      <c r="G535" s="31">
        <v>1</v>
      </c>
      <c r="H535" s="42">
        <v>3</v>
      </c>
      <c r="I535" t="str">
        <f>IF(H535="Track 1",IFERROR(_xlfn.XLOOKUP("*"&amp;LEFT(C535,FIND(" ",C535&amp;" ")-1)&amp;"*",'[1]Track 1'!$C$1:$C$99,'[1]Track 1'!$A$1:$A$99,,2),IFERROR(_xlfn.XLOOKUP("*"&amp;LEFT(C535,FIND(" ",C535&amp;" ")-1)&amp;"*",'[1]Track 1'!$H$1:$H$99,'[1]Track 1'!$E$1:$E$99,,2),"")),"")</f>
        <v/>
      </c>
      <c r="J535" s="15" t="s">
        <v>134</v>
      </c>
    </row>
    <row r="536" spans="1:10" ht="14.25" customHeight="1" x14ac:dyDescent="0.35">
      <c r="A536">
        <v>535</v>
      </c>
      <c r="B536">
        <v>90</v>
      </c>
      <c r="C536" t="s">
        <v>535</v>
      </c>
      <c r="D536" t="s">
        <v>51</v>
      </c>
      <c r="E536" t="s">
        <v>467</v>
      </c>
      <c r="F536" s="36" t="s">
        <v>467</v>
      </c>
      <c r="G536" s="31">
        <v>1</v>
      </c>
      <c r="H536" s="42">
        <v>3</v>
      </c>
      <c r="I536" t="str">
        <f>IF(H536="Track 1",IFERROR(_xlfn.XLOOKUP("*"&amp;LEFT(C536,FIND(" ",C536&amp;" ")-1)&amp;"*",'[1]Track 1'!$C$1:$C$99,'[1]Track 1'!$A$1:$A$99,,2),IFERROR(_xlfn.XLOOKUP("*"&amp;LEFT(C536,FIND(" ",C536&amp;" ")-1)&amp;"*",'[1]Track 1'!$H$1:$H$99,'[1]Track 1'!$E$1:$E$99,,2),"")),"")</f>
        <v/>
      </c>
      <c r="J536" s="15" t="s">
        <v>134</v>
      </c>
    </row>
    <row r="537" spans="1:10" ht="14.25" customHeight="1" x14ac:dyDescent="0.35">
      <c r="A537">
        <v>536</v>
      </c>
      <c r="B537">
        <v>91</v>
      </c>
      <c r="C537" t="s">
        <v>536</v>
      </c>
      <c r="D537" t="s">
        <v>18</v>
      </c>
      <c r="E537" t="s">
        <v>467</v>
      </c>
      <c r="F537" s="36" t="s">
        <v>467</v>
      </c>
      <c r="G537" s="31">
        <v>1</v>
      </c>
      <c r="H537" s="42">
        <v>3</v>
      </c>
      <c r="I537" t="str">
        <f>IF(H537="Track 1",IFERROR(_xlfn.XLOOKUP("*"&amp;LEFT(C537,FIND(" ",C537&amp;" ")-1)&amp;"*",'[1]Track 1'!$C$1:$C$99,'[1]Track 1'!$A$1:$A$99,,2),IFERROR(_xlfn.XLOOKUP("*"&amp;LEFT(C537,FIND(" ",C537&amp;" ")-1)&amp;"*",'[1]Track 1'!$H$1:$H$99,'[1]Track 1'!$E$1:$E$99,,2),"")),"")</f>
        <v/>
      </c>
      <c r="J537" s="15" t="s">
        <v>134</v>
      </c>
    </row>
    <row r="538" spans="1:10" ht="14.25" customHeight="1" x14ac:dyDescent="0.35">
      <c r="A538">
        <v>537</v>
      </c>
      <c r="B538">
        <v>92</v>
      </c>
      <c r="C538" t="s">
        <v>370</v>
      </c>
      <c r="D538" t="s">
        <v>16</v>
      </c>
      <c r="E538" t="s">
        <v>467</v>
      </c>
      <c r="F538" s="36" t="s">
        <v>467</v>
      </c>
      <c r="G538" s="31">
        <v>1</v>
      </c>
      <c r="H538" s="42">
        <v>3</v>
      </c>
      <c r="I538" t="str">
        <f>IF(H538="Track 1",IFERROR(_xlfn.XLOOKUP("*"&amp;LEFT(C538,FIND(" ",C538&amp;" ")-1)&amp;"*",'[1]Track 1'!$C$1:$C$99,'[1]Track 1'!$A$1:$A$99,,2),IFERROR(_xlfn.XLOOKUP("*"&amp;LEFT(C538,FIND(" ",C538&amp;" ")-1)&amp;"*",'[1]Track 1'!$H$1:$H$99,'[1]Track 1'!$E$1:$E$99,,2),"")),"")</f>
        <v/>
      </c>
      <c r="J538" s="15" t="s">
        <v>134</v>
      </c>
    </row>
    <row r="539" spans="1:10" ht="14.25" customHeight="1" x14ac:dyDescent="0.35">
      <c r="A539">
        <v>538</v>
      </c>
      <c r="B539">
        <v>93</v>
      </c>
      <c r="C539" t="s">
        <v>537</v>
      </c>
      <c r="D539" t="s">
        <v>51</v>
      </c>
      <c r="E539" t="s">
        <v>467</v>
      </c>
      <c r="F539" s="36" t="s">
        <v>467</v>
      </c>
      <c r="G539" s="31">
        <v>1</v>
      </c>
      <c r="H539" s="42">
        <v>3</v>
      </c>
      <c r="I539" t="str">
        <f>IF(H539="Track 1",IFERROR(_xlfn.XLOOKUP("*"&amp;LEFT(C539,FIND(" ",C539&amp;" ")-1)&amp;"*",'[1]Track 1'!$C$1:$C$99,'[1]Track 1'!$A$1:$A$99,,2),IFERROR(_xlfn.XLOOKUP("*"&amp;LEFT(C539,FIND(" ",C539&amp;" ")-1)&amp;"*",'[1]Track 1'!$H$1:$H$99,'[1]Track 1'!$E$1:$E$99,,2),"")),"")</f>
        <v/>
      </c>
      <c r="J539" s="15" t="s">
        <v>134</v>
      </c>
    </row>
    <row r="540" spans="1:10" ht="14.25" customHeight="1" x14ac:dyDescent="0.35">
      <c r="A540">
        <v>539</v>
      </c>
      <c r="B540">
        <v>94</v>
      </c>
      <c r="C540" t="s">
        <v>538</v>
      </c>
      <c r="D540" t="s">
        <v>18</v>
      </c>
      <c r="E540" t="s">
        <v>467</v>
      </c>
      <c r="F540" s="36" t="s">
        <v>467</v>
      </c>
      <c r="G540" s="31">
        <v>1</v>
      </c>
      <c r="H540" s="42">
        <v>3</v>
      </c>
      <c r="I540" t="str">
        <f>IF(H540="Track 1",IFERROR(_xlfn.XLOOKUP("*"&amp;LEFT(C540,FIND(" ",C540&amp;" ")-1)&amp;"*",'[1]Track 1'!$C$1:$C$99,'[1]Track 1'!$A$1:$A$99,,2),IFERROR(_xlfn.XLOOKUP("*"&amp;LEFT(C540,FIND(" ",C540&amp;" ")-1)&amp;"*",'[1]Track 1'!$H$1:$H$99,'[1]Track 1'!$E$1:$E$99,,2),"")),"")</f>
        <v/>
      </c>
      <c r="J540" s="15" t="s">
        <v>134</v>
      </c>
    </row>
    <row r="541" spans="1:10" ht="14.25" customHeight="1" x14ac:dyDescent="0.35">
      <c r="A541">
        <v>540</v>
      </c>
      <c r="B541">
        <v>95</v>
      </c>
      <c r="C541" t="s">
        <v>539</v>
      </c>
      <c r="D541" t="s">
        <v>16</v>
      </c>
      <c r="E541" t="s">
        <v>467</v>
      </c>
      <c r="F541" s="36" t="s">
        <v>467</v>
      </c>
      <c r="G541" s="31">
        <v>1</v>
      </c>
      <c r="H541" s="42">
        <v>3</v>
      </c>
      <c r="I541" t="str">
        <f>IF(H541="Track 1",IFERROR(_xlfn.XLOOKUP("*"&amp;LEFT(C541,FIND(" ",C541&amp;" ")-1)&amp;"*",'[1]Track 1'!$C$1:$C$99,'[1]Track 1'!$A$1:$A$99,,2),IFERROR(_xlfn.XLOOKUP("*"&amp;LEFT(C541,FIND(" ",C541&amp;" ")-1)&amp;"*",'[1]Track 1'!$H$1:$H$99,'[1]Track 1'!$E$1:$E$99,,2),"")),"")</f>
        <v/>
      </c>
      <c r="J541" s="15" t="s">
        <v>134</v>
      </c>
    </row>
    <row r="542" spans="1:10" ht="14.25" customHeight="1" x14ac:dyDescent="0.35">
      <c r="A542">
        <v>541</v>
      </c>
      <c r="B542">
        <v>96</v>
      </c>
      <c r="C542" t="s">
        <v>168</v>
      </c>
      <c r="D542" t="s">
        <v>169</v>
      </c>
      <c r="E542" t="s">
        <v>467</v>
      </c>
      <c r="F542" s="36" t="s">
        <v>467</v>
      </c>
      <c r="G542" s="31">
        <v>1</v>
      </c>
      <c r="H542" s="42">
        <v>3</v>
      </c>
      <c r="I542" t="str">
        <f>IF(H542="Track 1",IFERROR(_xlfn.XLOOKUP("*"&amp;LEFT(C542,FIND(" ",C542&amp;" ")-1)&amp;"*",'[1]Track 1'!$C$1:$C$99,'[1]Track 1'!$A$1:$A$99,,2),IFERROR(_xlfn.XLOOKUP("*"&amp;LEFT(C542,FIND(" ",C542&amp;" ")-1)&amp;"*",'[1]Track 1'!$H$1:$H$99,'[1]Track 1'!$E$1:$E$99,,2),"")),"")</f>
        <v/>
      </c>
      <c r="J542" s="15" t="s">
        <v>134</v>
      </c>
    </row>
    <row r="543" spans="1:10" ht="14.25" customHeight="1" x14ac:dyDescent="0.35">
      <c r="A543">
        <v>542</v>
      </c>
      <c r="B543">
        <v>97</v>
      </c>
      <c r="C543" t="s">
        <v>168</v>
      </c>
      <c r="D543" t="s">
        <v>169</v>
      </c>
      <c r="E543" t="s">
        <v>467</v>
      </c>
      <c r="F543" s="36" t="s">
        <v>467</v>
      </c>
      <c r="G543" s="31">
        <v>1</v>
      </c>
      <c r="H543" s="42">
        <v>3</v>
      </c>
      <c r="I543" t="str">
        <f>IF(H543="Track 1",IFERROR(_xlfn.XLOOKUP("*"&amp;LEFT(C543,FIND(" ",C543&amp;" ")-1)&amp;"*",'[1]Track 1'!$C$1:$C$99,'[1]Track 1'!$A$1:$A$99,,2),IFERROR(_xlfn.XLOOKUP("*"&amp;LEFT(C543,FIND(" ",C543&amp;" ")-1)&amp;"*",'[1]Track 1'!$H$1:$H$99,'[1]Track 1'!$E$1:$E$99,,2),"")),"")</f>
        <v/>
      </c>
      <c r="J543" s="15" t="s">
        <v>134</v>
      </c>
    </row>
    <row r="544" spans="1:10" ht="14.25" customHeight="1" x14ac:dyDescent="0.35">
      <c r="A544">
        <v>543</v>
      </c>
      <c r="B544">
        <v>98</v>
      </c>
      <c r="C544" t="s">
        <v>415</v>
      </c>
      <c r="D544" t="s">
        <v>18</v>
      </c>
      <c r="E544" t="s">
        <v>467</v>
      </c>
      <c r="F544" s="36" t="s">
        <v>467</v>
      </c>
      <c r="G544" s="31">
        <v>1</v>
      </c>
      <c r="H544" s="42">
        <v>3</v>
      </c>
      <c r="I544" t="str">
        <f>IF(H544="Track 1",IFERROR(_xlfn.XLOOKUP("*"&amp;LEFT(C544,FIND(" ",C544&amp;" ")-1)&amp;"*",'[1]Track 1'!$C$1:$C$99,'[1]Track 1'!$A$1:$A$99,,2),IFERROR(_xlfn.XLOOKUP("*"&amp;LEFT(C544,FIND(" ",C544&amp;" ")-1)&amp;"*",'[1]Track 1'!$H$1:$H$99,'[1]Track 1'!$E$1:$E$99,,2),"")),"")</f>
        <v/>
      </c>
      <c r="J544" s="15" t="s">
        <v>134</v>
      </c>
    </row>
    <row r="545" spans="1:10" ht="14.25" customHeight="1" x14ac:dyDescent="0.35">
      <c r="A545">
        <v>544</v>
      </c>
      <c r="B545">
        <v>99</v>
      </c>
      <c r="C545" t="s">
        <v>540</v>
      </c>
      <c r="D545" t="s">
        <v>317</v>
      </c>
      <c r="E545" t="s">
        <v>467</v>
      </c>
      <c r="F545" s="36" t="s">
        <v>467</v>
      </c>
      <c r="G545" s="31">
        <v>1</v>
      </c>
      <c r="H545" s="42">
        <v>3</v>
      </c>
      <c r="I545" t="str">
        <f>IF(H545="Track 1",IFERROR(_xlfn.XLOOKUP("*"&amp;LEFT(C545,FIND(" ",C545&amp;" ")-1)&amp;"*",'[1]Track 1'!$C$1:$C$99,'[1]Track 1'!$A$1:$A$99,,2),IFERROR(_xlfn.XLOOKUP("*"&amp;LEFT(C545,FIND(" ",C545&amp;" ")-1)&amp;"*",'[1]Track 1'!$H$1:$H$99,'[1]Track 1'!$E$1:$E$99,,2),"")),"")</f>
        <v/>
      </c>
      <c r="J545" s="15" t="s">
        <v>134</v>
      </c>
    </row>
    <row r="546" spans="1:10" ht="14.25" customHeight="1" x14ac:dyDescent="0.35">
      <c r="A546">
        <v>545</v>
      </c>
      <c r="B546">
        <v>100</v>
      </c>
      <c r="C546" t="s">
        <v>541</v>
      </c>
      <c r="D546" t="s">
        <v>317</v>
      </c>
      <c r="E546" t="s">
        <v>467</v>
      </c>
      <c r="F546" s="36" t="s">
        <v>467</v>
      </c>
      <c r="G546" s="31">
        <v>1</v>
      </c>
      <c r="H546" s="42">
        <v>3</v>
      </c>
      <c r="I546" t="str">
        <f>IF(H546="Track 1",IFERROR(_xlfn.XLOOKUP("*"&amp;LEFT(C546,FIND(" ",C546&amp;" ")-1)&amp;"*",'[1]Track 1'!$C$1:$C$99,'[1]Track 1'!$A$1:$A$99,,2),IFERROR(_xlfn.XLOOKUP("*"&amp;LEFT(C546,FIND(" ",C546&amp;" ")-1)&amp;"*",'[1]Track 1'!$H$1:$H$99,'[1]Track 1'!$E$1:$E$99,,2),"")),"")</f>
        <v/>
      </c>
      <c r="J546" s="15" t="s">
        <v>134</v>
      </c>
    </row>
    <row r="547" spans="1:10" ht="14.25" customHeight="1" x14ac:dyDescent="0.35">
      <c r="A547">
        <v>546</v>
      </c>
      <c r="B547">
        <v>101</v>
      </c>
      <c r="C547" t="s">
        <v>540</v>
      </c>
      <c r="D547" t="s">
        <v>317</v>
      </c>
      <c r="E547" t="s">
        <v>467</v>
      </c>
      <c r="F547" s="36" t="s">
        <v>467</v>
      </c>
      <c r="G547" s="31">
        <v>1</v>
      </c>
      <c r="H547" s="42">
        <v>3</v>
      </c>
      <c r="I547" t="str">
        <f>IF(H547="Track 1",IFERROR(_xlfn.XLOOKUP("*"&amp;LEFT(C547,FIND(" ",C547&amp;" ")-1)&amp;"*",'[1]Track 1'!$C$1:$C$99,'[1]Track 1'!$A$1:$A$99,,2),IFERROR(_xlfn.XLOOKUP("*"&amp;LEFT(C547,FIND(" ",C547&amp;" ")-1)&amp;"*",'[1]Track 1'!$H$1:$H$99,'[1]Track 1'!$E$1:$E$99,,2),"")),"")</f>
        <v/>
      </c>
      <c r="J547" s="15" t="s">
        <v>134</v>
      </c>
    </row>
    <row r="548" spans="1:10" ht="14.25" customHeight="1" x14ac:dyDescent="0.35">
      <c r="A548">
        <v>547</v>
      </c>
      <c r="B548">
        <v>102</v>
      </c>
      <c r="C548" t="s">
        <v>542</v>
      </c>
      <c r="D548" t="s">
        <v>543</v>
      </c>
      <c r="E548" t="s">
        <v>467</v>
      </c>
      <c r="F548" s="36" t="s">
        <v>467</v>
      </c>
      <c r="G548" s="31">
        <v>1</v>
      </c>
      <c r="H548" s="42">
        <v>3</v>
      </c>
      <c r="I548" t="str">
        <f>IF(H548="Track 1",IFERROR(_xlfn.XLOOKUP("*"&amp;LEFT(C548,FIND(" ",C548&amp;" ")-1)&amp;"*",'[1]Track 1'!$C$1:$C$99,'[1]Track 1'!$A$1:$A$99,,2),IFERROR(_xlfn.XLOOKUP("*"&amp;LEFT(C548,FIND(" ",C548&amp;" ")-1)&amp;"*",'[1]Track 1'!$H$1:$H$99,'[1]Track 1'!$E$1:$E$99,,2),"")),"")</f>
        <v/>
      </c>
      <c r="J548" s="15" t="s">
        <v>134</v>
      </c>
    </row>
    <row r="549" spans="1:10" ht="14.25" customHeight="1" x14ac:dyDescent="0.35">
      <c r="A549">
        <v>548</v>
      </c>
      <c r="B549">
        <v>103</v>
      </c>
      <c r="C549" t="s">
        <v>48</v>
      </c>
      <c r="D549" t="s">
        <v>49</v>
      </c>
      <c r="E549" t="s">
        <v>467</v>
      </c>
      <c r="F549" s="36" t="s">
        <v>467</v>
      </c>
      <c r="G549" s="31">
        <v>1</v>
      </c>
      <c r="H549" s="42">
        <v>3</v>
      </c>
      <c r="I549" t="str">
        <f>IF(H549="Track 1",IFERROR(_xlfn.XLOOKUP("*"&amp;LEFT(C549,FIND(" ",C549&amp;" ")-1)&amp;"*",'[1]Track 1'!$C$1:$C$99,'[1]Track 1'!$A$1:$A$99,,2),IFERROR(_xlfn.XLOOKUP("*"&amp;LEFT(C549,FIND(" ",C549&amp;" ")-1)&amp;"*",'[1]Track 1'!$H$1:$H$99,'[1]Track 1'!$E$1:$E$99,,2),"")),"")</f>
        <v/>
      </c>
      <c r="J549" s="43" t="s">
        <v>134</v>
      </c>
    </row>
    <row r="550" spans="1:10" ht="14.25" customHeight="1" x14ac:dyDescent="0.35">
      <c r="A550">
        <v>549</v>
      </c>
      <c r="B550">
        <v>104</v>
      </c>
      <c r="C550" t="s">
        <v>544</v>
      </c>
      <c r="D550" t="s">
        <v>545</v>
      </c>
      <c r="E550" t="s">
        <v>467</v>
      </c>
      <c r="F550" s="36" t="s">
        <v>467</v>
      </c>
      <c r="G550" s="31">
        <v>1</v>
      </c>
      <c r="H550" s="42">
        <v>3</v>
      </c>
      <c r="I550" t="str">
        <f>IF(H550="Track 1",IFERROR(_xlfn.XLOOKUP("*"&amp;LEFT(C550,FIND(" ",C550&amp;" ")-1)&amp;"*",'[1]Track 1'!$C$1:$C$99,'[1]Track 1'!$A$1:$A$99,,2),IFERROR(_xlfn.XLOOKUP("*"&amp;LEFT(C550,FIND(" ",C550&amp;" ")-1)&amp;"*",'[1]Track 1'!$H$1:$H$99,'[1]Track 1'!$E$1:$E$99,,2),"")),"")</f>
        <v/>
      </c>
      <c r="J550" s="15" t="s">
        <v>134</v>
      </c>
    </row>
    <row r="551" spans="1:10" ht="14.25" customHeight="1" x14ac:dyDescent="0.35">
      <c r="A551">
        <v>550</v>
      </c>
      <c r="B551">
        <v>105</v>
      </c>
      <c r="C551" t="s">
        <v>497</v>
      </c>
      <c r="D551" t="s">
        <v>191</v>
      </c>
      <c r="E551" t="s">
        <v>467</v>
      </c>
      <c r="F551" s="36" t="s">
        <v>467</v>
      </c>
      <c r="G551" s="31">
        <v>1</v>
      </c>
      <c r="H551" s="42">
        <v>3</v>
      </c>
      <c r="I551" t="str">
        <f>IF(H551="Track 1",IFERROR(_xlfn.XLOOKUP("*"&amp;LEFT(C551,FIND(" ",C551&amp;" ")-1)&amp;"*",'[1]Track 1'!$C$1:$C$99,'[1]Track 1'!$A$1:$A$99,,2),IFERROR(_xlfn.XLOOKUP("*"&amp;LEFT(C551,FIND(" ",C551&amp;" ")-1)&amp;"*",'[1]Track 1'!$H$1:$H$99,'[1]Track 1'!$E$1:$E$99,,2),"")),"")</f>
        <v/>
      </c>
      <c r="J551" s="15" t="s">
        <v>134</v>
      </c>
    </row>
    <row r="552" spans="1:10" ht="14.25" customHeight="1" x14ac:dyDescent="0.35">
      <c r="A552">
        <v>551</v>
      </c>
      <c r="B552">
        <v>106</v>
      </c>
      <c r="C552" t="s">
        <v>546</v>
      </c>
      <c r="D552" t="s">
        <v>18</v>
      </c>
      <c r="E552" t="s">
        <v>467</v>
      </c>
      <c r="F552" s="36" t="s">
        <v>467</v>
      </c>
      <c r="G552" s="31">
        <v>1</v>
      </c>
      <c r="H552" s="42">
        <v>3</v>
      </c>
      <c r="I552" t="str">
        <f>IF(H552="Track 1",IFERROR(_xlfn.XLOOKUP("*"&amp;LEFT(C552,FIND(" ",C552&amp;" ")-1)&amp;"*",'[1]Track 1'!$C$1:$C$99,'[1]Track 1'!$A$1:$A$99,,2),IFERROR(_xlfn.XLOOKUP("*"&amp;LEFT(C552,FIND(" ",C552&amp;" ")-1)&amp;"*",'[1]Track 1'!$H$1:$H$99,'[1]Track 1'!$E$1:$E$99,,2),"")),"")</f>
        <v/>
      </c>
      <c r="J552" s="15" t="s">
        <v>134</v>
      </c>
    </row>
    <row r="553" spans="1:10" ht="14.25" customHeight="1" x14ac:dyDescent="0.35">
      <c r="A553">
        <v>552</v>
      </c>
      <c r="B553">
        <v>107</v>
      </c>
      <c r="C553" t="s">
        <v>547</v>
      </c>
      <c r="D553" t="s">
        <v>39</v>
      </c>
      <c r="E553" t="s">
        <v>467</v>
      </c>
      <c r="F553" s="36" t="s">
        <v>467</v>
      </c>
      <c r="G553" s="31">
        <v>1</v>
      </c>
      <c r="H553" s="42">
        <v>3</v>
      </c>
      <c r="I553" t="str">
        <f>IF(H553="Track 1",IFERROR(_xlfn.XLOOKUP("*"&amp;LEFT(C553,FIND(" ",C553&amp;" ")-1)&amp;"*",'[1]Track 1'!$C$1:$C$99,'[1]Track 1'!$A$1:$A$99,,2),IFERROR(_xlfn.XLOOKUP("*"&amp;LEFT(C553,FIND(" ",C553&amp;" ")-1)&amp;"*",'[1]Track 1'!$H$1:$H$99,'[1]Track 1'!$E$1:$E$99,,2),"")),"")</f>
        <v/>
      </c>
      <c r="J553" s="15" t="s">
        <v>134</v>
      </c>
    </row>
    <row r="554" spans="1:10" ht="14.25" customHeight="1" x14ac:dyDescent="0.35">
      <c r="A554">
        <v>553</v>
      </c>
      <c r="B554">
        <v>108</v>
      </c>
      <c r="C554" t="s">
        <v>377</v>
      </c>
      <c r="D554" t="s">
        <v>39</v>
      </c>
      <c r="E554" t="s">
        <v>467</v>
      </c>
      <c r="F554" s="36" t="s">
        <v>467</v>
      </c>
      <c r="G554" s="31">
        <v>1</v>
      </c>
      <c r="H554" s="42">
        <v>3</v>
      </c>
      <c r="I554" t="str">
        <f>IF(H554="Track 1",IFERROR(_xlfn.XLOOKUP("*"&amp;LEFT(C554,FIND(" ",C554&amp;" ")-1)&amp;"*",'[1]Track 1'!$C$1:$C$99,'[1]Track 1'!$A$1:$A$99,,2),IFERROR(_xlfn.XLOOKUP("*"&amp;LEFT(C554,FIND(" ",C554&amp;" ")-1)&amp;"*",'[1]Track 1'!$H$1:$H$99,'[1]Track 1'!$E$1:$E$99,,2),"")),"")</f>
        <v/>
      </c>
      <c r="J554" s="15" t="s">
        <v>134</v>
      </c>
    </row>
    <row r="555" spans="1:10" ht="14.25" customHeight="1" x14ac:dyDescent="0.35">
      <c r="A555">
        <v>554</v>
      </c>
      <c r="B555">
        <v>109</v>
      </c>
      <c r="C555" t="s">
        <v>315</v>
      </c>
      <c r="D555" t="s">
        <v>191</v>
      </c>
      <c r="E555" t="s">
        <v>467</v>
      </c>
      <c r="F555" s="36" t="s">
        <v>467</v>
      </c>
      <c r="G555" s="31">
        <v>1</v>
      </c>
      <c r="H555" s="42">
        <v>3</v>
      </c>
      <c r="I555" t="str">
        <f>IF(H555="Track 1",IFERROR(_xlfn.XLOOKUP("*"&amp;LEFT(C555,FIND(" ",C555&amp;" ")-1)&amp;"*",'[1]Track 1'!$C$1:$C$99,'[1]Track 1'!$A$1:$A$99,,2),IFERROR(_xlfn.XLOOKUP("*"&amp;LEFT(C555,FIND(" ",C555&amp;" ")-1)&amp;"*",'[1]Track 1'!$H$1:$H$99,'[1]Track 1'!$E$1:$E$99,,2),"")),"")</f>
        <v/>
      </c>
      <c r="J555" s="15" t="s">
        <v>134</v>
      </c>
    </row>
    <row r="556" spans="1:10" ht="14.25" customHeight="1" x14ac:dyDescent="0.35">
      <c r="A556">
        <v>555</v>
      </c>
      <c r="B556">
        <v>110</v>
      </c>
      <c r="C556" t="s">
        <v>548</v>
      </c>
      <c r="D556" t="s">
        <v>425</v>
      </c>
      <c r="E556" t="s">
        <v>467</v>
      </c>
      <c r="F556" s="36" t="s">
        <v>467</v>
      </c>
      <c r="G556" s="31">
        <v>1</v>
      </c>
      <c r="H556" s="42">
        <v>3</v>
      </c>
      <c r="I556" t="str">
        <f>IF(H556="Track 1",IFERROR(_xlfn.XLOOKUP("*"&amp;LEFT(C556,FIND(" ",C556&amp;" ")-1)&amp;"*",'[1]Track 1'!$C$1:$C$99,'[1]Track 1'!$A$1:$A$99,,2),IFERROR(_xlfn.XLOOKUP("*"&amp;LEFT(C556,FIND(" ",C556&amp;" ")-1)&amp;"*",'[1]Track 1'!$H$1:$H$99,'[1]Track 1'!$E$1:$E$99,,2),"")),"")</f>
        <v/>
      </c>
      <c r="J556" s="15" t="s">
        <v>134</v>
      </c>
    </row>
    <row r="557" spans="1:10" ht="14.25" customHeight="1" x14ac:dyDescent="0.35">
      <c r="A557">
        <v>556</v>
      </c>
      <c r="B557">
        <v>111</v>
      </c>
      <c r="C557" t="s">
        <v>549</v>
      </c>
      <c r="D557" t="s">
        <v>489</v>
      </c>
      <c r="E557" t="s">
        <v>467</v>
      </c>
      <c r="F557" s="36" t="s">
        <v>467</v>
      </c>
      <c r="G557" s="31">
        <v>1</v>
      </c>
      <c r="H557" s="42">
        <v>3</v>
      </c>
      <c r="I557" t="str">
        <f>IF(H557="Track 1",IFERROR(_xlfn.XLOOKUP("*"&amp;LEFT(C557,FIND(" ",C557&amp;" ")-1)&amp;"*",'[1]Track 1'!$C$1:$C$99,'[1]Track 1'!$A$1:$A$99,,2),IFERROR(_xlfn.XLOOKUP("*"&amp;LEFT(C557,FIND(" ",C557&amp;" ")-1)&amp;"*",'[1]Track 1'!$H$1:$H$99,'[1]Track 1'!$E$1:$E$99,,2),"")),"")</f>
        <v/>
      </c>
      <c r="J557" s="15" t="s">
        <v>134</v>
      </c>
    </row>
    <row r="558" spans="1:10" ht="14.25" customHeight="1" x14ac:dyDescent="0.35">
      <c r="A558">
        <v>557</v>
      </c>
      <c r="B558">
        <v>112</v>
      </c>
      <c r="C558" t="s">
        <v>550</v>
      </c>
      <c r="D558" t="s">
        <v>39</v>
      </c>
      <c r="E558" t="s">
        <v>467</v>
      </c>
      <c r="F558" s="36" t="s">
        <v>467</v>
      </c>
      <c r="G558" s="31">
        <v>1</v>
      </c>
      <c r="H558" s="42">
        <v>3</v>
      </c>
      <c r="I558" t="str">
        <f>IF(H558="Track 1",IFERROR(_xlfn.XLOOKUP("*"&amp;LEFT(C558,FIND(" ",C558&amp;" ")-1)&amp;"*",'[1]Track 1'!$C$1:$C$99,'[1]Track 1'!$A$1:$A$99,,2),IFERROR(_xlfn.XLOOKUP("*"&amp;LEFT(C558,FIND(" ",C558&amp;" ")-1)&amp;"*",'[1]Track 1'!$H$1:$H$99,'[1]Track 1'!$E$1:$E$99,,2),"")),"")</f>
        <v/>
      </c>
      <c r="J558" s="15" t="s">
        <v>134</v>
      </c>
    </row>
    <row r="559" spans="1:10" ht="14.25" customHeight="1" x14ac:dyDescent="0.35">
      <c r="A559">
        <v>558</v>
      </c>
      <c r="B559">
        <v>113</v>
      </c>
      <c r="C559" t="s">
        <v>487</v>
      </c>
      <c r="D559" t="s">
        <v>39</v>
      </c>
      <c r="E559" t="s">
        <v>467</v>
      </c>
      <c r="F559" s="36" t="s">
        <v>467</v>
      </c>
      <c r="G559" s="31">
        <v>1</v>
      </c>
      <c r="H559" s="42">
        <v>3</v>
      </c>
      <c r="I559" t="str">
        <f>IF(H559="Track 1",IFERROR(_xlfn.XLOOKUP("*"&amp;LEFT(C559,FIND(" ",C559&amp;" ")-1)&amp;"*",'[1]Track 1'!$C$1:$C$99,'[1]Track 1'!$A$1:$A$99,,2),IFERROR(_xlfn.XLOOKUP("*"&amp;LEFT(C559,FIND(" ",C559&amp;" ")-1)&amp;"*",'[1]Track 1'!$H$1:$H$99,'[1]Track 1'!$E$1:$E$99,,2),"")),"")</f>
        <v/>
      </c>
      <c r="J559" s="15" t="s">
        <v>134</v>
      </c>
    </row>
    <row r="560" spans="1:10" ht="14.25" customHeight="1" x14ac:dyDescent="0.35">
      <c r="A560">
        <v>559</v>
      </c>
      <c r="B560">
        <v>114</v>
      </c>
      <c r="C560" t="s">
        <v>551</v>
      </c>
      <c r="D560" t="s">
        <v>16</v>
      </c>
      <c r="E560" t="s">
        <v>467</v>
      </c>
      <c r="F560" s="36" t="s">
        <v>467</v>
      </c>
      <c r="G560" s="31">
        <v>1</v>
      </c>
      <c r="H560" s="42">
        <v>3</v>
      </c>
      <c r="I560" t="str">
        <f>IF(H560="Track 1",IFERROR(_xlfn.XLOOKUP("*"&amp;LEFT(C560,FIND(" ",C560&amp;" ")-1)&amp;"*",'[1]Track 1'!$C$1:$C$99,'[1]Track 1'!$A$1:$A$99,,2),IFERROR(_xlfn.XLOOKUP("*"&amp;LEFT(C560,FIND(" ",C560&amp;" ")-1)&amp;"*",'[1]Track 1'!$H$1:$H$99,'[1]Track 1'!$E$1:$E$99,,2),"")),"")</f>
        <v/>
      </c>
      <c r="J560" s="15" t="s">
        <v>134</v>
      </c>
    </row>
    <row r="561" spans="1:10" ht="14.25" customHeight="1" x14ac:dyDescent="0.35">
      <c r="A561">
        <v>560</v>
      </c>
      <c r="B561">
        <v>115</v>
      </c>
      <c r="C561" t="s">
        <v>552</v>
      </c>
      <c r="D561" t="s">
        <v>39</v>
      </c>
      <c r="E561" t="s">
        <v>467</v>
      </c>
      <c r="F561" s="36" t="s">
        <v>467</v>
      </c>
      <c r="G561" s="31">
        <v>1</v>
      </c>
      <c r="H561" s="42">
        <v>3</v>
      </c>
      <c r="I561" t="str">
        <f>IF(H561="Track 1",IFERROR(_xlfn.XLOOKUP("*"&amp;LEFT(C561,FIND(" ",C561&amp;" ")-1)&amp;"*",'[1]Track 1'!$C$1:$C$99,'[1]Track 1'!$A$1:$A$99,,2),IFERROR(_xlfn.XLOOKUP("*"&amp;LEFT(C561,FIND(" ",C561&amp;" ")-1)&amp;"*",'[1]Track 1'!$H$1:$H$99,'[1]Track 1'!$E$1:$E$99,,2),"")),"")</f>
        <v/>
      </c>
      <c r="J561" s="15" t="s">
        <v>134</v>
      </c>
    </row>
    <row r="562" spans="1:10" ht="14.25" customHeight="1" x14ac:dyDescent="0.35">
      <c r="A562">
        <v>561</v>
      </c>
      <c r="B562">
        <v>116</v>
      </c>
      <c r="C562" t="s">
        <v>553</v>
      </c>
      <c r="D562" t="s">
        <v>16</v>
      </c>
      <c r="E562" t="s">
        <v>467</v>
      </c>
      <c r="F562" s="36" t="s">
        <v>467</v>
      </c>
      <c r="G562" s="31">
        <v>1</v>
      </c>
      <c r="H562" s="42">
        <v>3</v>
      </c>
      <c r="I562" t="str">
        <f>IF(H562="Track 1",IFERROR(_xlfn.XLOOKUP("*"&amp;LEFT(C562,FIND(" ",C562&amp;" ")-1)&amp;"*",'[1]Track 1'!$C$1:$C$99,'[1]Track 1'!$A$1:$A$99,,2),IFERROR(_xlfn.XLOOKUP("*"&amp;LEFT(C562,FIND(" ",C562&amp;" ")-1)&amp;"*",'[1]Track 1'!$H$1:$H$99,'[1]Track 1'!$E$1:$E$99,,2),"")),"")</f>
        <v/>
      </c>
      <c r="J562" s="15" t="s">
        <v>134</v>
      </c>
    </row>
    <row r="563" spans="1:10" ht="14.25" customHeight="1" x14ac:dyDescent="0.35">
      <c r="A563">
        <v>562</v>
      </c>
      <c r="B563">
        <v>117</v>
      </c>
      <c r="C563" t="s">
        <v>554</v>
      </c>
      <c r="D563" t="s">
        <v>16</v>
      </c>
      <c r="E563" t="s">
        <v>467</v>
      </c>
      <c r="F563" s="36" t="s">
        <v>467</v>
      </c>
      <c r="G563" s="31">
        <v>1</v>
      </c>
      <c r="H563" s="42">
        <v>3</v>
      </c>
      <c r="I563" t="str">
        <f>IF(H563="Track 1",IFERROR(_xlfn.XLOOKUP("*"&amp;LEFT(C563,FIND(" ",C563&amp;" ")-1)&amp;"*",'[1]Track 1'!$C$1:$C$99,'[1]Track 1'!$A$1:$A$99,,2),IFERROR(_xlfn.XLOOKUP("*"&amp;LEFT(C563,FIND(" ",C563&amp;" ")-1)&amp;"*",'[1]Track 1'!$H$1:$H$99,'[1]Track 1'!$E$1:$E$99,,2),"")),"")</f>
        <v/>
      </c>
      <c r="J563" s="15" t="s">
        <v>134</v>
      </c>
    </row>
    <row r="564" spans="1:10" ht="14.25" customHeight="1" x14ac:dyDescent="0.35">
      <c r="A564">
        <v>563</v>
      </c>
      <c r="B564">
        <v>118</v>
      </c>
      <c r="C564" t="s">
        <v>555</v>
      </c>
      <c r="D564" t="s">
        <v>247</v>
      </c>
      <c r="E564" t="s">
        <v>467</v>
      </c>
      <c r="F564" s="36" t="s">
        <v>467</v>
      </c>
      <c r="G564" s="31">
        <v>1</v>
      </c>
      <c r="H564" s="42">
        <v>3</v>
      </c>
      <c r="I564" t="str">
        <f>IF(H564="Track 1",IFERROR(_xlfn.XLOOKUP("*"&amp;LEFT(C564,FIND(" ",C564&amp;" ")-1)&amp;"*",'[1]Track 1'!$C$1:$C$99,'[1]Track 1'!$A$1:$A$99,,2),IFERROR(_xlfn.XLOOKUP("*"&amp;LEFT(C564,FIND(" ",C564&amp;" ")-1)&amp;"*",'[1]Track 1'!$H$1:$H$99,'[1]Track 1'!$E$1:$E$99,,2),"")),"")</f>
        <v/>
      </c>
      <c r="J564" s="15" t="s">
        <v>134</v>
      </c>
    </row>
    <row r="565" spans="1:10" ht="14.25" customHeight="1" x14ac:dyDescent="0.35">
      <c r="A565">
        <v>564</v>
      </c>
      <c r="B565">
        <v>119</v>
      </c>
      <c r="C565" t="s">
        <v>556</v>
      </c>
      <c r="D565" t="s">
        <v>557</v>
      </c>
      <c r="E565" t="s">
        <v>467</v>
      </c>
      <c r="F565" s="36" t="s">
        <v>467</v>
      </c>
      <c r="G565" s="31">
        <v>1</v>
      </c>
      <c r="H565" s="42">
        <v>3</v>
      </c>
      <c r="I565" t="str">
        <f>IF(H565="Track 1",IFERROR(_xlfn.XLOOKUP("*"&amp;LEFT(C565,FIND(" ",C565&amp;" ")-1)&amp;"*",'[1]Track 1'!$C$1:$C$99,'[1]Track 1'!$A$1:$A$99,,2),IFERROR(_xlfn.XLOOKUP("*"&amp;LEFT(C565,FIND(" ",C565&amp;" ")-1)&amp;"*",'[1]Track 1'!$H$1:$H$99,'[1]Track 1'!$E$1:$E$99,,2),"")),"")</f>
        <v/>
      </c>
      <c r="J565" s="15" t="s">
        <v>134</v>
      </c>
    </row>
    <row r="566" spans="1:10" ht="14.25" customHeight="1" x14ac:dyDescent="0.35">
      <c r="A566">
        <v>565</v>
      </c>
      <c r="B566">
        <v>120</v>
      </c>
      <c r="C566" t="s">
        <v>558</v>
      </c>
      <c r="D566" t="s">
        <v>11</v>
      </c>
      <c r="E566" t="s">
        <v>467</v>
      </c>
      <c r="F566" s="36" t="s">
        <v>467</v>
      </c>
      <c r="G566" s="31">
        <v>1</v>
      </c>
      <c r="H566" s="42">
        <v>3</v>
      </c>
      <c r="I566" t="str">
        <f>IF(H566="Track 1",IFERROR(_xlfn.XLOOKUP("*"&amp;LEFT(C566,FIND(" ",C566&amp;" ")-1)&amp;"*",'[1]Track 1'!$C$1:$C$99,'[1]Track 1'!$A$1:$A$99,,2),IFERROR(_xlfn.XLOOKUP("*"&amp;LEFT(C566,FIND(" ",C566&amp;" ")-1)&amp;"*",'[1]Track 1'!$H$1:$H$99,'[1]Track 1'!$E$1:$E$99,,2),"")),"")</f>
        <v/>
      </c>
      <c r="J566" s="15" t="s">
        <v>134</v>
      </c>
    </row>
    <row r="567" spans="1:10" ht="14.25" customHeight="1" x14ac:dyDescent="0.35">
      <c r="A567">
        <v>566</v>
      </c>
      <c r="B567">
        <v>121</v>
      </c>
      <c r="C567" t="s">
        <v>559</v>
      </c>
      <c r="D567" t="s">
        <v>150</v>
      </c>
      <c r="E567" t="s">
        <v>467</v>
      </c>
      <c r="F567" s="36" t="s">
        <v>467</v>
      </c>
      <c r="G567" s="31">
        <v>1</v>
      </c>
      <c r="H567" s="42">
        <v>3</v>
      </c>
      <c r="I567" t="str">
        <f>IF(H567="Track 1",IFERROR(_xlfn.XLOOKUP("*"&amp;LEFT(C567,FIND(" ",C567&amp;" ")-1)&amp;"*",'[1]Track 1'!$C$1:$C$99,'[1]Track 1'!$A$1:$A$99,,2),IFERROR(_xlfn.XLOOKUP("*"&amp;LEFT(C567,FIND(" ",C567&amp;" ")-1)&amp;"*",'[1]Track 1'!$H$1:$H$99,'[1]Track 1'!$E$1:$E$99,,2),"")),"")</f>
        <v/>
      </c>
      <c r="J567" s="15" t="s">
        <v>134</v>
      </c>
    </row>
    <row r="568" spans="1:10" ht="14.25" customHeight="1" x14ac:dyDescent="0.35">
      <c r="A568">
        <v>567</v>
      </c>
      <c r="B568">
        <v>122</v>
      </c>
      <c r="C568" t="s">
        <v>560</v>
      </c>
      <c r="D568" t="s">
        <v>51</v>
      </c>
      <c r="E568" t="s">
        <v>467</v>
      </c>
      <c r="F568" s="36" t="s">
        <v>467</v>
      </c>
      <c r="G568" s="31">
        <v>1</v>
      </c>
      <c r="H568" s="42">
        <v>3</v>
      </c>
      <c r="I568" t="str">
        <f>IF(H568="Track 1",IFERROR(_xlfn.XLOOKUP("*"&amp;LEFT(C568,FIND(" ",C568&amp;" ")-1)&amp;"*",'[1]Track 1'!$C$1:$C$99,'[1]Track 1'!$A$1:$A$99,,2),IFERROR(_xlfn.XLOOKUP("*"&amp;LEFT(C568,FIND(" ",C568&amp;" ")-1)&amp;"*",'[1]Track 1'!$H$1:$H$99,'[1]Track 1'!$E$1:$E$99,,2),"")),"")</f>
        <v/>
      </c>
      <c r="J568" s="15" t="s">
        <v>134</v>
      </c>
    </row>
    <row r="569" spans="1:10" ht="14.25" customHeight="1" x14ac:dyDescent="0.35">
      <c r="A569">
        <v>568</v>
      </c>
      <c r="B569">
        <v>123</v>
      </c>
      <c r="C569" t="s">
        <v>561</v>
      </c>
      <c r="D569" t="s">
        <v>562</v>
      </c>
      <c r="E569" t="s">
        <v>467</v>
      </c>
      <c r="F569" s="36" t="s">
        <v>467</v>
      </c>
      <c r="G569" s="31">
        <v>1</v>
      </c>
      <c r="H569" s="42">
        <v>3</v>
      </c>
      <c r="I569" t="str">
        <f>IF(H569="Track 1",IFERROR(_xlfn.XLOOKUP("*"&amp;LEFT(C569,FIND(" ",C569&amp;" ")-1)&amp;"*",'[1]Track 1'!$C$1:$C$99,'[1]Track 1'!$A$1:$A$99,,2),IFERROR(_xlfn.XLOOKUP("*"&amp;LEFT(C569,FIND(" ",C569&amp;" ")-1)&amp;"*",'[1]Track 1'!$H$1:$H$99,'[1]Track 1'!$E$1:$E$99,,2),"")),"")</f>
        <v/>
      </c>
      <c r="J569" s="15" t="s">
        <v>134</v>
      </c>
    </row>
    <row r="570" spans="1:10" ht="14.25" customHeight="1" x14ac:dyDescent="0.35">
      <c r="A570">
        <v>569</v>
      </c>
      <c r="B570">
        <v>124</v>
      </c>
      <c r="C570" t="s">
        <v>563</v>
      </c>
      <c r="D570" t="s">
        <v>150</v>
      </c>
      <c r="E570" t="s">
        <v>467</v>
      </c>
      <c r="F570" s="36" t="s">
        <v>467</v>
      </c>
      <c r="G570" s="31">
        <v>1</v>
      </c>
      <c r="H570" s="42">
        <v>3</v>
      </c>
      <c r="I570" t="str">
        <f>IF(H570="Track 1",IFERROR(_xlfn.XLOOKUP("*"&amp;LEFT(C570,FIND(" ",C570&amp;" ")-1)&amp;"*",'[1]Track 1'!$C$1:$C$99,'[1]Track 1'!$A$1:$A$99,,2),IFERROR(_xlfn.XLOOKUP("*"&amp;LEFT(C570,FIND(" ",C570&amp;" ")-1)&amp;"*",'[1]Track 1'!$H$1:$H$99,'[1]Track 1'!$E$1:$E$99,,2),"")),"")</f>
        <v/>
      </c>
      <c r="J570" s="15" t="s">
        <v>134</v>
      </c>
    </row>
    <row r="571" spans="1:10" ht="14.25" customHeight="1" x14ac:dyDescent="0.35">
      <c r="A571">
        <v>570</v>
      </c>
      <c r="B571">
        <v>125</v>
      </c>
      <c r="C571" t="s">
        <v>564</v>
      </c>
      <c r="D571" t="s">
        <v>132</v>
      </c>
      <c r="E571" t="s">
        <v>467</v>
      </c>
      <c r="F571" s="36" t="s">
        <v>467</v>
      </c>
      <c r="G571" s="31">
        <v>1</v>
      </c>
      <c r="H571" s="42">
        <v>3</v>
      </c>
      <c r="I571" t="str">
        <f>IF(H571="Track 1",IFERROR(_xlfn.XLOOKUP("*"&amp;LEFT(C571,FIND(" ",C571&amp;" ")-1)&amp;"*",'[1]Track 1'!$C$1:$C$99,'[1]Track 1'!$A$1:$A$99,,2),IFERROR(_xlfn.XLOOKUP("*"&amp;LEFT(C571,FIND(" ",C571&amp;" ")-1)&amp;"*",'[1]Track 1'!$H$1:$H$99,'[1]Track 1'!$E$1:$E$99,,2),"")),"")</f>
        <v/>
      </c>
      <c r="J571" s="44" t="s">
        <v>134</v>
      </c>
    </row>
    <row r="572" spans="1:10" ht="14.25" customHeight="1" x14ac:dyDescent="0.35">
      <c r="A572">
        <v>571</v>
      </c>
      <c r="B572">
        <v>126</v>
      </c>
      <c r="C572" t="s">
        <v>565</v>
      </c>
      <c r="D572" t="s">
        <v>16</v>
      </c>
      <c r="E572" t="s">
        <v>467</v>
      </c>
      <c r="F572" s="36" t="s">
        <v>467</v>
      </c>
      <c r="G572" s="31">
        <v>1</v>
      </c>
      <c r="H572" s="42">
        <v>4</v>
      </c>
      <c r="I572" t="str">
        <f>IF(H572="Track 1",IFERROR(_xlfn.XLOOKUP("*"&amp;LEFT(C572,FIND(" ",C572&amp;" ")-1)&amp;"*",'[1]Track 1'!$C$1:$C$99,'[1]Track 1'!$A$1:$A$99,,2),IFERROR(_xlfn.XLOOKUP("*"&amp;LEFT(C572,FIND(" ",C572&amp;" ")-1)&amp;"*",'[1]Track 1'!$H$1:$H$99,'[1]Track 1'!$E$1:$E$99,,2),"")),"")</f>
        <v/>
      </c>
      <c r="J572" s="15" t="s">
        <v>134</v>
      </c>
    </row>
    <row r="573" spans="1:10" ht="14.25" customHeight="1" x14ac:dyDescent="0.35">
      <c r="A573">
        <v>572</v>
      </c>
      <c r="B573">
        <v>127</v>
      </c>
      <c r="C573" t="s">
        <v>566</v>
      </c>
      <c r="D573" t="s">
        <v>39</v>
      </c>
      <c r="E573" t="s">
        <v>467</v>
      </c>
      <c r="F573" s="36" t="s">
        <v>467</v>
      </c>
      <c r="G573" s="31">
        <v>1</v>
      </c>
      <c r="H573" s="42">
        <v>4</v>
      </c>
      <c r="I573" t="str">
        <f>IF(H573="Track 1",IFERROR(_xlfn.XLOOKUP("*"&amp;LEFT(C573,FIND(" ",C573&amp;" ")-1)&amp;"*",'[1]Track 1'!$C$1:$C$99,'[1]Track 1'!$A$1:$A$99,,2),IFERROR(_xlfn.XLOOKUP("*"&amp;LEFT(C573,FIND(" ",C573&amp;" ")-1)&amp;"*",'[1]Track 1'!$H$1:$H$99,'[1]Track 1'!$E$1:$E$99,,2),"")),"")</f>
        <v/>
      </c>
      <c r="J573" s="15" t="s">
        <v>134</v>
      </c>
    </row>
    <row r="574" spans="1:10" ht="14.25" customHeight="1" x14ac:dyDescent="0.35">
      <c r="A574">
        <v>573</v>
      </c>
      <c r="B574">
        <v>128</v>
      </c>
      <c r="C574" t="s">
        <v>567</v>
      </c>
      <c r="D574" t="s">
        <v>18</v>
      </c>
      <c r="E574" t="s">
        <v>467</v>
      </c>
      <c r="F574" s="36" t="s">
        <v>467</v>
      </c>
      <c r="G574" s="31">
        <v>1</v>
      </c>
      <c r="H574" s="42">
        <v>4</v>
      </c>
      <c r="I574" t="str">
        <f>IF(H574="Track 1",IFERROR(_xlfn.XLOOKUP("*"&amp;LEFT(C574,FIND(" ",C574&amp;" ")-1)&amp;"*",'[1]Track 1'!$C$1:$C$99,'[1]Track 1'!$A$1:$A$99,,2),IFERROR(_xlfn.XLOOKUP("*"&amp;LEFT(C574,FIND(" ",C574&amp;" ")-1)&amp;"*",'[1]Track 1'!$H$1:$H$99,'[1]Track 1'!$E$1:$E$99,,2),"")),"")</f>
        <v/>
      </c>
      <c r="J574" s="15" t="s">
        <v>134</v>
      </c>
    </row>
    <row r="575" spans="1:10" ht="14.25" customHeight="1" x14ac:dyDescent="0.35">
      <c r="A575">
        <v>574</v>
      </c>
      <c r="B575">
        <v>129</v>
      </c>
      <c r="C575" t="s">
        <v>568</v>
      </c>
      <c r="D575" t="s">
        <v>16</v>
      </c>
      <c r="E575" t="s">
        <v>467</v>
      </c>
      <c r="F575" s="36" t="s">
        <v>467</v>
      </c>
      <c r="G575" s="31">
        <v>1</v>
      </c>
      <c r="H575" s="42">
        <v>4</v>
      </c>
      <c r="I575" t="str">
        <f>IF(H575="Track 1",IFERROR(_xlfn.XLOOKUP("*"&amp;LEFT(C575,FIND(" ",C575&amp;" ")-1)&amp;"*",'[1]Track 1'!$C$1:$C$99,'[1]Track 1'!$A$1:$A$99,,2),IFERROR(_xlfn.XLOOKUP("*"&amp;LEFT(C575,FIND(" ",C575&amp;" ")-1)&amp;"*",'[1]Track 1'!$H$1:$H$99,'[1]Track 1'!$E$1:$E$99,,2),"")),"")</f>
        <v/>
      </c>
      <c r="J575" s="15" t="s">
        <v>134</v>
      </c>
    </row>
    <row r="576" spans="1:10" ht="14.25" customHeight="1" x14ac:dyDescent="0.35">
      <c r="A576">
        <v>575</v>
      </c>
      <c r="B576">
        <v>130</v>
      </c>
      <c r="C576" t="s">
        <v>569</v>
      </c>
      <c r="D576" t="s">
        <v>16</v>
      </c>
      <c r="E576" t="s">
        <v>467</v>
      </c>
      <c r="F576" s="36" t="s">
        <v>467</v>
      </c>
      <c r="G576" s="31">
        <v>1</v>
      </c>
      <c r="H576" s="42">
        <v>4</v>
      </c>
      <c r="I576" t="str">
        <f>IF(H576="Track 1",IFERROR(_xlfn.XLOOKUP("*"&amp;LEFT(C576,FIND(" ",C576&amp;" ")-1)&amp;"*",'[1]Track 1'!$C$1:$C$99,'[1]Track 1'!$A$1:$A$99,,2),IFERROR(_xlfn.XLOOKUP("*"&amp;LEFT(C576,FIND(" ",C576&amp;" ")-1)&amp;"*",'[1]Track 1'!$H$1:$H$99,'[1]Track 1'!$E$1:$E$99,,2),"")),"")</f>
        <v/>
      </c>
      <c r="J576" s="15" t="s">
        <v>134</v>
      </c>
    </row>
    <row r="577" spans="1:10" ht="14.25" customHeight="1" x14ac:dyDescent="0.35">
      <c r="A577">
        <v>576</v>
      </c>
      <c r="B577">
        <v>131</v>
      </c>
      <c r="C577" t="s">
        <v>570</v>
      </c>
      <c r="D577" t="s">
        <v>397</v>
      </c>
      <c r="E577" t="s">
        <v>467</v>
      </c>
      <c r="F577" s="36" t="s">
        <v>467</v>
      </c>
      <c r="G577" s="31">
        <v>1</v>
      </c>
      <c r="H577" s="42">
        <v>4</v>
      </c>
      <c r="I577" t="str">
        <f>IF(H577="Track 1",IFERROR(_xlfn.XLOOKUP("*"&amp;LEFT(C577,FIND(" ",C577&amp;" ")-1)&amp;"*",'[1]Track 1'!$C$1:$C$99,'[1]Track 1'!$A$1:$A$99,,2),IFERROR(_xlfn.XLOOKUP("*"&amp;LEFT(C577,FIND(" ",C577&amp;" ")-1)&amp;"*",'[1]Track 1'!$H$1:$H$99,'[1]Track 1'!$E$1:$E$99,,2),"")),"")</f>
        <v/>
      </c>
      <c r="J577" s="15" t="s">
        <v>134</v>
      </c>
    </row>
    <row r="578" spans="1:10" ht="14.25" customHeight="1" x14ac:dyDescent="0.35">
      <c r="A578">
        <v>577</v>
      </c>
      <c r="B578">
        <v>132</v>
      </c>
      <c r="C578" t="s">
        <v>571</v>
      </c>
      <c r="D578" t="s">
        <v>165</v>
      </c>
      <c r="E578" t="s">
        <v>467</v>
      </c>
      <c r="F578" s="36" t="s">
        <v>467</v>
      </c>
      <c r="G578" s="31">
        <v>1</v>
      </c>
      <c r="H578" s="42">
        <v>4</v>
      </c>
      <c r="I578" t="str">
        <f>IF(H578="Track 1",IFERROR(_xlfn.XLOOKUP("*"&amp;LEFT(C578,FIND(" ",C578&amp;" ")-1)&amp;"*",'[1]Track 1'!$C$1:$C$99,'[1]Track 1'!$A$1:$A$99,,2),IFERROR(_xlfn.XLOOKUP("*"&amp;LEFT(C578,FIND(" ",C578&amp;" ")-1)&amp;"*",'[1]Track 1'!$H$1:$H$99,'[1]Track 1'!$E$1:$E$99,,2),"")),"")</f>
        <v/>
      </c>
      <c r="J578" s="15" t="s">
        <v>134</v>
      </c>
    </row>
    <row r="579" spans="1:10" ht="14.25" customHeight="1" x14ac:dyDescent="0.35">
      <c r="A579">
        <v>578</v>
      </c>
      <c r="B579">
        <v>133</v>
      </c>
      <c r="C579" t="s">
        <v>478</v>
      </c>
      <c r="D579" t="s">
        <v>479</v>
      </c>
      <c r="E579" t="s">
        <v>467</v>
      </c>
      <c r="F579" s="36" t="s">
        <v>467</v>
      </c>
      <c r="G579" s="31">
        <v>1</v>
      </c>
      <c r="H579" s="42">
        <v>4</v>
      </c>
      <c r="I579" t="str">
        <f>IF(H579="Track 1",IFERROR(_xlfn.XLOOKUP("*"&amp;LEFT(C579,FIND(" ",C579&amp;" ")-1)&amp;"*",'[1]Track 1'!$C$1:$C$99,'[1]Track 1'!$A$1:$A$99,,2),IFERROR(_xlfn.XLOOKUP("*"&amp;LEFT(C579,FIND(" ",C579&amp;" ")-1)&amp;"*",'[1]Track 1'!$H$1:$H$99,'[1]Track 1'!$E$1:$E$99,,2),"")),"")</f>
        <v/>
      </c>
      <c r="J579" s="15" t="s">
        <v>134</v>
      </c>
    </row>
    <row r="580" spans="1:10" ht="14.25" customHeight="1" x14ac:dyDescent="0.35">
      <c r="A580">
        <v>579</v>
      </c>
      <c r="B580">
        <v>134</v>
      </c>
      <c r="C580" t="s">
        <v>383</v>
      </c>
      <c r="D580" t="s">
        <v>191</v>
      </c>
      <c r="E580" t="s">
        <v>467</v>
      </c>
      <c r="F580" s="36" t="s">
        <v>467</v>
      </c>
      <c r="G580" s="31">
        <v>1</v>
      </c>
      <c r="H580" s="42">
        <v>4</v>
      </c>
      <c r="I580" t="str">
        <f>IF(H580="Track 1",IFERROR(_xlfn.XLOOKUP("*"&amp;LEFT(C580,FIND(" ",C580&amp;" ")-1)&amp;"*",'[1]Track 1'!$C$1:$C$99,'[1]Track 1'!$A$1:$A$99,,2),IFERROR(_xlfn.XLOOKUP("*"&amp;LEFT(C580,FIND(" ",C580&amp;" ")-1)&amp;"*",'[1]Track 1'!$H$1:$H$99,'[1]Track 1'!$E$1:$E$99,,2),"")),"")</f>
        <v/>
      </c>
      <c r="J580" s="15" t="s">
        <v>134</v>
      </c>
    </row>
    <row r="581" spans="1:10" ht="14.25" customHeight="1" x14ac:dyDescent="0.35">
      <c r="A581">
        <v>580</v>
      </c>
      <c r="B581">
        <v>135</v>
      </c>
      <c r="C581" t="s">
        <v>572</v>
      </c>
      <c r="D581" t="s">
        <v>265</v>
      </c>
      <c r="E581" t="s">
        <v>467</v>
      </c>
      <c r="F581" s="36" t="s">
        <v>467</v>
      </c>
      <c r="G581" s="31">
        <v>1</v>
      </c>
      <c r="H581" s="42">
        <v>4</v>
      </c>
      <c r="I581" t="str">
        <f>IF(H581="Track 1",IFERROR(_xlfn.XLOOKUP("*"&amp;LEFT(C581,FIND(" ",C581&amp;" ")-1)&amp;"*",'[1]Track 1'!$C$1:$C$99,'[1]Track 1'!$A$1:$A$99,,2),IFERROR(_xlfn.XLOOKUP("*"&amp;LEFT(C581,FIND(" ",C581&amp;" ")-1)&amp;"*",'[1]Track 1'!$H$1:$H$99,'[1]Track 1'!$E$1:$E$99,,2),"")),"")</f>
        <v/>
      </c>
      <c r="J581" s="15" t="s">
        <v>134</v>
      </c>
    </row>
    <row r="582" spans="1:10" ht="14.25" customHeight="1" x14ac:dyDescent="0.35">
      <c r="A582">
        <v>581</v>
      </c>
      <c r="B582">
        <v>136</v>
      </c>
      <c r="C582" t="s">
        <v>573</v>
      </c>
      <c r="D582" t="s">
        <v>18</v>
      </c>
      <c r="E582" t="s">
        <v>467</v>
      </c>
      <c r="F582" s="36" t="s">
        <v>467</v>
      </c>
      <c r="G582" s="31">
        <v>1</v>
      </c>
      <c r="H582" s="42">
        <v>4</v>
      </c>
      <c r="I582" t="str">
        <f>IF(H582="Track 1",IFERROR(_xlfn.XLOOKUP("*"&amp;LEFT(C582,FIND(" ",C582&amp;" ")-1)&amp;"*",'[1]Track 1'!$C$1:$C$99,'[1]Track 1'!$A$1:$A$99,,2),IFERROR(_xlfn.XLOOKUP("*"&amp;LEFT(C582,FIND(" ",C582&amp;" ")-1)&amp;"*",'[1]Track 1'!$H$1:$H$99,'[1]Track 1'!$E$1:$E$99,,2),"")),"")</f>
        <v/>
      </c>
      <c r="J582" s="15" t="s">
        <v>134</v>
      </c>
    </row>
    <row r="583" spans="1:10" ht="14.25" customHeight="1" x14ac:dyDescent="0.35">
      <c r="A583">
        <v>582</v>
      </c>
      <c r="B583">
        <v>137</v>
      </c>
      <c r="C583" t="s">
        <v>574</v>
      </c>
      <c r="D583" t="s">
        <v>344</v>
      </c>
      <c r="E583" t="s">
        <v>467</v>
      </c>
      <c r="F583" s="36" t="s">
        <v>467</v>
      </c>
      <c r="G583" s="31">
        <v>1</v>
      </c>
      <c r="H583" s="42">
        <v>4</v>
      </c>
      <c r="I583" t="str">
        <f>IF(H583="Track 1",IFERROR(_xlfn.XLOOKUP("*"&amp;LEFT(C583,FIND(" ",C583&amp;" ")-1)&amp;"*",'[1]Track 1'!$C$1:$C$99,'[1]Track 1'!$A$1:$A$99,,2),IFERROR(_xlfn.XLOOKUP("*"&amp;LEFT(C583,FIND(" ",C583&amp;" ")-1)&amp;"*",'[1]Track 1'!$H$1:$H$99,'[1]Track 1'!$E$1:$E$99,,2),"")),"")</f>
        <v/>
      </c>
      <c r="J583" s="15" t="s">
        <v>134</v>
      </c>
    </row>
    <row r="584" spans="1:10" ht="14.25" customHeight="1" x14ac:dyDescent="0.35">
      <c r="A584">
        <v>583</v>
      </c>
      <c r="B584">
        <v>138</v>
      </c>
      <c r="C584" t="s">
        <v>514</v>
      </c>
      <c r="D584" t="s">
        <v>39</v>
      </c>
      <c r="E584" t="s">
        <v>467</v>
      </c>
      <c r="F584" s="36" t="s">
        <v>467</v>
      </c>
      <c r="G584" s="31">
        <v>1</v>
      </c>
      <c r="H584" s="42">
        <v>4</v>
      </c>
      <c r="I584" t="str">
        <f>IF(H584="Track 1",IFERROR(_xlfn.XLOOKUP("*"&amp;LEFT(C584,FIND(" ",C584&amp;" ")-1)&amp;"*",'[1]Track 1'!$C$1:$C$99,'[1]Track 1'!$A$1:$A$99,,2),IFERROR(_xlfn.XLOOKUP("*"&amp;LEFT(C584,FIND(" ",C584&amp;" ")-1)&amp;"*",'[1]Track 1'!$H$1:$H$99,'[1]Track 1'!$E$1:$E$99,,2),"")),"")</f>
        <v/>
      </c>
      <c r="J584" s="15" t="s">
        <v>134</v>
      </c>
    </row>
    <row r="585" spans="1:10" ht="14.25" customHeight="1" x14ac:dyDescent="0.35">
      <c r="A585">
        <v>584</v>
      </c>
      <c r="B585">
        <v>139</v>
      </c>
      <c r="C585" t="s">
        <v>471</v>
      </c>
      <c r="D585" t="s">
        <v>39</v>
      </c>
      <c r="E585" t="s">
        <v>467</v>
      </c>
      <c r="F585" s="36" t="s">
        <v>467</v>
      </c>
      <c r="G585" s="31">
        <v>1</v>
      </c>
      <c r="H585" s="42">
        <v>4</v>
      </c>
      <c r="I585" t="str">
        <f>IF(H585="Track 1",IFERROR(_xlfn.XLOOKUP("*"&amp;LEFT(C585,FIND(" ",C585&amp;" ")-1)&amp;"*",'[1]Track 1'!$C$1:$C$99,'[1]Track 1'!$A$1:$A$99,,2),IFERROR(_xlfn.XLOOKUP("*"&amp;LEFT(C585,FIND(" ",C585&amp;" ")-1)&amp;"*",'[1]Track 1'!$H$1:$H$99,'[1]Track 1'!$E$1:$E$99,,2),"")),"")</f>
        <v/>
      </c>
      <c r="J585" s="15" t="s">
        <v>134</v>
      </c>
    </row>
    <row r="586" spans="1:10" ht="14.25" customHeight="1" x14ac:dyDescent="0.35">
      <c r="A586">
        <v>585</v>
      </c>
      <c r="B586">
        <v>140</v>
      </c>
      <c r="C586" t="s">
        <v>575</v>
      </c>
      <c r="D586" t="s">
        <v>39</v>
      </c>
      <c r="E586" t="s">
        <v>467</v>
      </c>
      <c r="F586" s="36" t="s">
        <v>467</v>
      </c>
      <c r="G586" s="31">
        <v>1</v>
      </c>
      <c r="H586" s="42">
        <v>4</v>
      </c>
      <c r="I586" t="str">
        <f>IF(H586="Track 1",IFERROR(_xlfn.XLOOKUP("*"&amp;LEFT(C586,FIND(" ",C586&amp;" ")-1)&amp;"*",'[1]Track 1'!$C$1:$C$99,'[1]Track 1'!$A$1:$A$99,,2),IFERROR(_xlfn.XLOOKUP("*"&amp;LEFT(C586,FIND(" ",C586&amp;" ")-1)&amp;"*",'[1]Track 1'!$H$1:$H$99,'[1]Track 1'!$E$1:$E$99,,2),"")),"")</f>
        <v/>
      </c>
      <c r="J586" s="15" t="s">
        <v>134</v>
      </c>
    </row>
    <row r="587" spans="1:10" ht="14.25" customHeight="1" x14ac:dyDescent="0.35">
      <c r="A587">
        <v>586</v>
      </c>
      <c r="B587">
        <v>141</v>
      </c>
      <c r="C587" t="s">
        <v>576</v>
      </c>
      <c r="D587" t="s">
        <v>18</v>
      </c>
      <c r="E587" t="s">
        <v>467</v>
      </c>
      <c r="F587" s="36" t="s">
        <v>467</v>
      </c>
      <c r="G587" s="31">
        <v>1</v>
      </c>
      <c r="H587" s="42">
        <v>4</v>
      </c>
      <c r="I587" t="str">
        <f>IF(H587="Track 1",IFERROR(_xlfn.XLOOKUP("*"&amp;LEFT(C587,FIND(" ",C587&amp;" ")-1)&amp;"*",'[1]Track 1'!$C$1:$C$99,'[1]Track 1'!$A$1:$A$99,,2),IFERROR(_xlfn.XLOOKUP("*"&amp;LEFT(C587,FIND(" ",C587&amp;" ")-1)&amp;"*",'[1]Track 1'!$H$1:$H$99,'[1]Track 1'!$E$1:$E$99,,2),"")),"")</f>
        <v/>
      </c>
      <c r="J587" s="15" t="s">
        <v>134</v>
      </c>
    </row>
    <row r="588" spans="1:10" ht="14.25" customHeight="1" x14ac:dyDescent="0.35">
      <c r="A588">
        <v>587</v>
      </c>
      <c r="B588">
        <v>142</v>
      </c>
      <c r="C588" t="s">
        <v>328</v>
      </c>
      <c r="D588" t="s">
        <v>39</v>
      </c>
      <c r="E588" t="s">
        <v>467</v>
      </c>
      <c r="F588" s="36" t="s">
        <v>467</v>
      </c>
      <c r="G588" s="31">
        <v>1</v>
      </c>
      <c r="H588" s="42">
        <v>4</v>
      </c>
      <c r="I588" t="str">
        <f>IF(H588="Track 1",IFERROR(_xlfn.XLOOKUP("*"&amp;LEFT(C588,FIND(" ",C588&amp;" ")-1)&amp;"*",'[1]Track 1'!$C$1:$C$99,'[1]Track 1'!$A$1:$A$99,,2),IFERROR(_xlfn.XLOOKUP("*"&amp;LEFT(C588,FIND(" ",C588&amp;" ")-1)&amp;"*",'[1]Track 1'!$H$1:$H$99,'[1]Track 1'!$E$1:$E$99,,2),"")),"")</f>
        <v/>
      </c>
      <c r="J588" s="15" t="s">
        <v>134</v>
      </c>
    </row>
    <row r="589" spans="1:10" ht="14.25" customHeight="1" x14ac:dyDescent="0.35">
      <c r="A589">
        <v>588</v>
      </c>
      <c r="B589">
        <v>143</v>
      </c>
      <c r="C589" t="s">
        <v>577</v>
      </c>
      <c r="D589" t="s">
        <v>247</v>
      </c>
      <c r="E589" t="s">
        <v>467</v>
      </c>
      <c r="F589" s="36" t="s">
        <v>467</v>
      </c>
      <c r="G589" s="31">
        <v>1</v>
      </c>
      <c r="H589" s="42">
        <v>4</v>
      </c>
      <c r="I589" t="str">
        <f>IF(H589="Track 1",IFERROR(_xlfn.XLOOKUP("*"&amp;LEFT(C589,FIND(" ",C589&amp;" ")-1)&amp;"*",'[1]Track 1'!$C$1:$C$99,'[1]Track 1'!$A$1:$A$99,,2),IFERROR(_xlfn.XLOOKUP("*"&amp;LEFT(C589,FIND(" ",C589&amp;" ")-1)&amp;"*",'[1]Track 1'!$H$1:$H$99,'[1]Track 1'!$E$1:$E$99,,2),"")),"")</f>
        <v/>
      </c>
      <c r="J589" s="15" t="s">
        <v>134</v>
      </c>
    </row>
    <row r="590" spans="1:10" ht="14.25" customHeight="1" x14ac:dyDescent="0.35">
      <c r="A590">
        <v>589</v>
      </c>
      <c r="B590">
        <v>144</v>
      </c>
      <c r="C590" t="s">
        <v>80</v>
      </c>
      <c r="D590" t="s">
        <v>18</v>
      </c>
      <c r="E590" t="s">
        <v>467</v>
      </c>
      <c r="F590" s="36" t="s">
        <v>467</v>
      </c>
      <c r="G590" s="31">
        <v>1</v>
      </c>
      <c r="H590" s="42">
        <v>4</v>
      </c>
      <c r="I590" t="str">
        <f>IF(H590="Track 1",IFERROR(_xlfn.XLOOKUP("*"&amp;LEFT(C590,FIND(" ",C590&amp;" ")-1)&amp;"*",'[1]Track 1'!$C$1:$C$99,'[1]Track 1'!$A$1:$A$99,,2),IFERROR(_xlfn.XLOOKUP("*"&amp;LEFT(C590,FIND(" ",C590&amp;" ")-1)&amp;"*",'[1]Track 1'!$H$1:$H$99,'[1]Track 1'!$E$1:$E$99,,2),"")),"")</f>
        <v/>
      </c>
      <c r="J590" s="15" t="s">
        <v>134</v>
      </c>
    </row>
    <row r="591" spans="1:10" ht="14.25" customHeight="1" x14ac:dyDescent="0.35">
      <c r="A591">
        <v>590</v>
      </c>
      <c r="B591">
        <v>145</v>
      </c>
      <c r="C591" t="s">
        <v>257</v>
      </c>
      <c r="D591" t="s">
        <v>18</v>
      </c>
      <c r="E591" t="s">
        <v>467</v>
      </c>
      <c r="F591" s="36" t="s">
        <v>467</v>
      </c>
      <c r="G591" s="31">
        <v>1</v>
      </c>
      <c r="H591" s="42">
        <v>4</v>
      </c>
      <c r="I591" t="str">
        <f>IF(H591="Track 1",IFERROR(_xlfn.XLOOKUP("*"&amp;LEFT(C591,FIND(" ",C591&amp;" ")-1)&amp;"*",'[1]Track 1'!$C$1:$C$99,'[1]Track 1'!$A$1:$A$99,,2),IFERROR(_xlfn.XLOOKUP("*"&amp;LEFT(C591,FIND(" ",C591&amp;" ")-1)&amp;"*",'[1]Track 1'!$H$1:$H$99,'[1]Track 1'!$E$1:$E$99,,2),"")),"")</f>
        <v/>
      </c>
      <c r="J591" s="15" t="s">
        <v>134</v>
      </c>
    </row>
    <row r="592" spans="1:10" ht="14.25" customHeight="1" x14ac:dyDescent="0.35">
      <c r="A592">
        <v>591</v>
      </c>
      <c r="B592">
        <v>146</v>
      </c>
      <c r="C592" t="s">
        <v>578</v>
      </c>
      <c r="D592" t="s">
        <v>18</v>
      </c>
      <c r="E592" t="s">
        <v>467</v>
      </c>
      <c r="F592" s="36" t="s">
        <v>467</v>
      </c>
      <c r="G592" s="31">
        <v>1</v>
      </c>
      <c r="H592" s="42">
        <v>4</v>
      </c>
      <c r="I592" t="str">
        <f>IF(H592="Track 1",IFERROR(_xlfn.XLOOKUP("*"&amp;LEFT(C592,FIND(" ",C592&amp;" ")-1)&amp;"*",'[1]Track 1'!$C$1:$C$99,'[1]Track 1'!$A$1:$A$99,,2),IFERROR(_xlfn.XLOOKUP("*"&amp;LEFT(C592,FIND(" ",C592&amp;" ")-1)&amp;"*",'[1]Track 1'!$H$1:$H$99,'[1]Track 1'!$E$1:$E$99,,2),"")),"")</f>
        <v/>
      </c>
      <c r="J592" s="15" t="s">
        <v>134</v>
      </c>
    </row>
    <row r="593" spans="1:10" ht="14.25" customHeight="1" x14ac:dyDescent="0.35">
      <c r="A593">
        <v>592</v>
      </c>
      <c r="B593">
        <v>147</v>
      </c>
      <c r="C593" t="s">
        <v>579</v>
      </c>
      <c r="D593" t="s">
        <v>18</v>
      </c>
      <c r="E593" t="s">
        <v>467</v>
      </c>
      <c r="F593" s="36" t="s">
        <v>467</v>
      </c>
      <c r="G593" s="31">
        <v>1</v>
      </c>
      <c r="H593" s="42">
        <v>4</v>
      </c>
      <c r="I593" t="str">
        <f>IF(H593="Track 1",IFERROR(_xlfn.XLOOKUP("*"&amp;LEFT(C593,FIND(" ",C593&amp;" ")-1)&amp;"*",'[1]Track 1'!$C$1:$C$99,'[1]Track 1'!$A$1:$A$99,,2),IFERROR(_xlfn.XLOOKUP("*"&amp;LEFT(C593,FIND(" ",C593&amp;" ")-1)&amp;"*",'[1]Track 1'!$H$1:$H$99,'[1]Track 1'!$E$1:$E$99,,2),"")),"")</f>
        <v/>
      </c>
      <c r="J593" s="15" t="s">
        <v>134</v>
      </c>
    </row>
    <row r="594" spans="1:10" ht="14.25" customHeight="1" x14ac:dyDescent="0.35">
      <c r="A594">
        <v>593</v>
      </c>
      <c r="B594">
        <v>148</v>
      </c>
      <c r="C594" t="s">
        <v>580</v>
      </c>
      <c r="D594" t="s">
        <v>16</v>
      </c>
      <c r="E594" t="s">
        <v>467</v>
      </c>
      <c r="F594" s="36" t="s">
        <v>467</v>
      </c>
      <c r="G594" s="31">
        <v>1</v>
      </c>
      <c r="H594" s="42">
        <v>4</v>
      </c>
      <c r="I594" t="str">
        <f>IF(H594="Track 1",IFERROR(_xlfn.XLOOKUP("*"&amp;LEFT(C594,FIND(" ",C594&amp;" ")-1)&amp;"*",'[1]Track 1'!$C$1:$C$99,'[1]Track 1'!$A$1:$A$99,,2),IFERROR(_xlfn.XLOOKUP("*"&amp;LEFT(C594,FIND(" ",C594&amp;" ")-1)&amp;"*",'[1]Track 1'!$H$1:$H$99,'[1]Track 1'!$E$1:$E$99,,2),"")),"")</f>
        <v/>
      </c>
      <c r="J594" s="15" t="s">
        <v>134</v>
      </c>
    </row>
    <row r="595" spans="1:10" ht="14.25" customHeight="1" x14ac:dyDescent="0.35">
      <c r="A595">
        <v>594</v>
      </c>
      <c r="B595">
        <v>149</v>
      </c>
      <c r="C595" t="s">
        <v>237</v>
      </c>
      <c r="D595" t="s">
        <v>70</v>
      </c>
      <c r="E595" t="s">
        <v>467</v>
      </c>
      <c r="F595" s="36" t="s">
        <v>467</v>
      </c>
      <c r="G595" s="31">
        <v>1</v>
      </c>
      <c r="H595" s="42">
        <v>4</v>
      </c>
      <c r="I595" t="str">
        <f>IF(H595="Track 1",IFERROR(_xlfn.XLOOKUP("*"&amp;LEFT(C595,FIND(" ",C595&amp;" ")-1)&amp;"*",'[1]Track 1'!$C$1:$C$99,'[1]Track 1'!$A$1:$A$99,,2),IFERROR(_xlfn.XLOOKUP("*"&amp;LEFT(C595,FIND(" ",C595&amp;" ")-1)&amp;"*",'[1]Track 1'!$H$1:$H$99,'[1]Track 1'!$E$1:$E$99,,2),"")),"")</f>
        <v/>
      </c>
      <c r="J595" s="15" t="s">
        <v>134</v>
      </c>
    </row>
    <row r="596" spans="1:10" ht="14.25" customHeight="1" x14ac:dyDescent="0.35">
      <c r="A596">
        <v>595</v>
      </c>
      <c r="B596">
        <v>150</v>
      </c>
      <c r="C596" t="s">
        <v>370</v>
      </c>
      <c r="D596" t="s">
        <v>16</v>
      </c>
      <c r="E596" t="s">
        <v>467</v>
      </c>
      <c r="F596" s="36" t="s">
        <v>467</v>
      </c>
      <c r="G596" s="31">
        <v>1</v>
      </c>
      <c r="H596" s="42">
        <v>4</v>
      </c>
      <c r="I596" t="str">
        <f>IF(H596="Track 1",IFERROR(_xlfn.XLOOKUP("*"&amp;LEFT(C596,FIND(" ",C596&amp;" ")-1)&amp;"*",'[1]Track 1'!$C$1:$C$99,'[1]Track 1'!$A$1:$A$99,,2),IFERROR(_xlfn.XLOOKUP("*"&amp;LEFT(C596,FIND(" ",C596&amp;" ")-1)&amp;"*",'[1]Track 1'!$H$1:$H$99,'[1]Track 1'!$E$1:$E$99,,2),"")),"")</f>
        <v/>
      </c>
      <c r="J596" s="15" t="s">
        <v>134</v>
      </c>
    </row>
    <row r="597" spans="1:10" ht="14.25" customHeight="1" x14ac:dyDescent="0.35">
      <c r="A597">
        <v>596</v>
      </c>
      <c r="B597">
        <v>151</v>
      </c>
      <c r="C597" t="s">
        <v>581</v>
      </c>
      <c r="D597" t="s">
        <v>165</v>
      </c>
      <c r="E597" t="s">
        <v>467</v>
      </c>
      <c r="F597" s="36" t="s">
        <v>467</v>
      </c>
      <c r="G597" s="31">
        <v>1</v>
      </c>
      <c r="H597" s="42">
        <v>4</v>
      </c>
      <c r="I597" t="str">
        <f>IF(H597="Track 1",IFERROR(_xlfn.XLOOKUP("*"&amp;LEFT(C597,FIND(" ",C597&amp;" ")-1)&amp;"*",'[1]Track 1'!$C$1:$C$99,'[1]Track 1'!$A$1:$A$99,,2),IFERROR(_xlfn.XLOOKUP("*"&amp;LEFT(C597,FIND(" ",C597&amp;" ")-1)&amp;"*",'[1]Track 1'!$H$1:$H$99,'[1]Track 1'!$E$1:$E$99,,2),"")),"")</f>
        <v/>
      </c>
      <c r="J597" s="15" t="s">
        <v>134</v>
      </c>
    </row>
    <row r="598" spans="1:10" ht="14.25" customHeight="1" x14ac:dyDescent="0.35">
      <c r="A598">
        <v>597</v>
      </c>
      <c r="B598">
        <v>152</v>
      </c>
      <c r="C598" t="s">
        <v>582</v>
      </c>
      <c r="D598" t="s">
        <v>31</v>
      </c>
      <c r="E598" t="s">
        <v>467</v>
      </c>
      <c r="F598" s="36" t="s">
        <v>467</v>
      </c>
      <c r="G598" s="31">
        <v>1</v>
      </c>
      <c r="H598" s="42">
        <v>4</v>
      </c>
      <c r="I598" t="str">
        <f>IF(H598="Track 1",IFERROR(_xlfn.XLOOKUP("*"&amp;LEFT(C598,FIND(" ",C598&amp;" ")-1)&amp;"*",'[1]Track 1'!$C$1:$C$99,'[1]Track 1'!$A$1:$A$99,,2),IFERROR(_xlfn.XLOOKUP("*"&amp;LEFT(C598,FIND(" ",C598&amp;" ")-1)&amp;"*",'[1]Track 1'!$H$1:$H$99,'[1]Track 1'!$E$1:$E$99,,2),"")),"")</f>
        <v/>
      </c>
      <c r="J598" s="15" t="s">
        <v>134</v>
      </c>
    </row>
    <row r="599" spans="1:10" ht="14.25" customHeight="1" x14ac:dyDescent="0.35">
      <c r="A599">
        <v>598</v>
      </c>
      <c r="B599">
        <v>153</v>
      </c>
      <c r="C599" t="s">
        <v>583</v>
      </c>
      <c r="D599" t="s">
        <v>584</v>
      </c>
      <c r="E599" t="s">
        <v>467</v>
      </c>
      <c r="F599" s="36" t="s">
        <v>467</v>
      </c>
      <c r="G599" s="31">
        <v>1</v>
      </c>
      <c r="H599" s="42">
        <v>4</v>
      </c>
      <c r="I599" t="str">
        <f>IF(H599="Track 1",IFERROR(_xlfn.XLOOKUP("*"&amp;LEFT(C599,FIND(" ",C599&amp;" ")-1)&amp;"*",'[1]Track 1'!$C$1:$C$99,'[1]Track 1'!$A$1:$A$99,,2),IFERROR(_xlfn.XLOOKUP("*"&amp;LEFT(C599,FIND(" ",C599&amp;" ")-1)&amp;"*",'[1]Track 1'!$H$1:$H$99,'[1]Track 1'!$E$1:$E$99,,2),"")),"")</f>
        <v/>
      </c>
      <c r="J599" s="15" t="s">
        <v>134</v>
      </c>
    </row>
    <row r="600" spans="1:10" ht="14.25" customHeight="1" x14ac:dyDescent="0.35">
      <c r="A600">
        <v>599</v>
      </c>
      <c r="B600">
        <v>154</v>
      </c>
      <c r="C600" t="s">
        <v>585</v>
      </c>
      <c r="D600" t="s">
        <v>18</v>
      </c>
      <c r="E600" t="s">
        <v>467</v>
      </c>
      <c r="F600" s="36" t="s">
        <v>467</v>
      </c>
      <c r="G600" s="31">
        <v>1</v>
      </c>
      <c r="H600" s="42">
        <v>4</v>
      </c>
      <c r="I600" t="str">
        <f>IF(H600="Track 1",IFERROR(_xlfn.XLOOKUP("*"&amp;LEFT(C600,FIND(" ",C600&amp;" ")-1)&amp;"*",'[1]Track 1'!$C$1:$C$99,'[1]Track 1'!$A$1:$A$99,,2),IFERROR(_xlfn.XLOOKUP("*"&amp;LEFT(C600,FIND(" ",C600&amp;" ")-1)&amp;"*",'[1]Track 1'!$H$1:$H$99,'[1]Track 1'!$E$1:$E$99,,2),"")),"")</f>
        <v/>
      </c>
      <c r="J600" s="15" t="s">
        <v>134</v>
      </c>
    </row>
    <row r="601" spans="1:10" ht="14.25" customHeight="1" x14ac:dyDescent="0.35">
      <c r="A601">
        <v>600</v>
      </c>
      <c r="B601">
        <v>155</v>
      </c>
      <c r="C601" t="s">
        <v>586</v>
      </c>
      <c r="D601" t="s">
        <v>39</v>
      </c>
      <c r="E601" t="s">
        <v>467</v>
      </c>
      <c r="F601" s="36" t="s">
        <v>467</v>
      </c>
      <c r="G601" s="31">
        <v>1</v>
      </c>
      <c r="H601" s="42">
        <v>4</v>
      </c>
      <c r="I601" t="str">
        <f>IF(H601="Track 1",IFERROR(_xlfn.XLOOKUP("*"&amp;LEFT(C601,FIND(" ",C601&amp;" ")-1)&amp;"*",'[1]Track 1'!$C$1:$C$99,'[1]Track 1'!$A$1:$A$99,,2),IFERROR(_xlfn.XLOOKUP("*"&amp;LEFT(C601,FIND(" ",C601&amp;" ")-1)&amp;"*",'[1]Track 1'!$H$1:$H$99,'[1]Track 1'!$E$1:$E$99,,2),"")),"")</f>
        <v/>
      </c>
      <c r="J601" s="15" t="s">
        <v>134</v>
      </c>
    </row>
    <row r="602" spans="1:10" ht="14.25" customHeight="1" x14ac:dyDescent="0.35">
      <c r="A602">
        <v>601</v>
      </c>
      <c r="B602">
        <v>156</v>
      </c>
      <c r="C602" t="s">
        <v>587</v>
      </c>
      <c r="D602" t="s">
        <v>588</v>
      </c>
      <c r="E602" t="s">
        <v>467</v>
      </c>
      <c r="F602" s="36" t="s">
        <v>467</v>
      </c>
      <c r="G602" s="31">
        <v>1</v>
      </c>
      <c r="H602" s="42">
        <v>4</v>
      </c>
      <c r="I602" t="str">
        <f>IF(H602="Track 1",IFERROR(_xlfn.XLOOKUP("*"&amp;LEFT(C602,FIND(" ",C602&amp;" ")-1)&amp;"*",'[1]Track 1'!$C$1:$C$99,'[1]Track 1'!$A$1:$A$99,,2),IFERROR(_xlfn.XLOOKUP("*"&amp;LEFT(C602,FIND(" ",C602&amp;" ")-1)&amp;"*",'[1]Track 1'!$H$1:$H$99,'[1]Track 1'!$E$1:$E$99,,2),"")),"")</f>
        <v/>
      </c>
      <c r="J602" s="15" t="s">
        <v>134</v>
      </c>
    </row>
    <row r="603" spans="1:10" ht="14.25" customHeight="1" x14ac:dyDescent="0.35">
      <c r="A603">
        <v>602</v>
      </c>
      <c r="B603">
        <v>157</v>
      </c>
      <c r="C603" t="s">
        <v>589</v>
      </c>
      <c r="D603" t="s">
        <v>18</v>
      </c>
      <c r="E603" t="s">
        <v>467</v>
      </c>
      <c r="F603" s="36" t="s">
        <v>467</v>
      </c>
      <c r="G603" s="31">
        <v>1</v>
      </c>
      <c r="H603" s="42">
        <v>4</v>
      </c>
      <c r="I603" t="str">
        <f>IF(H603="Track 1",IFERROR(_xlfn.XLOOKUP("*"&amp;LEFT(C603,FIND(" ",C603&amp;" ")-1)&amp;"*",'[1]Track 1'!$C$1:$C$99,'[1]Track 1'!$A$1:$A$99,,2),IFERROR(_xlfn.XLOOKUP("*"&amp;LEFT(C603,FIND(" ",C603&amp;" ")-1)&amp;"*",'[1]Track 1'!$H$1:$H$99,'[1]Track 1'!$E$1:$E$99,,2),"")),"")</f>
        <v/>
      </c>
      <c r="J603" s="15" t="s">
        <v>134</v>
      </c>
    </row>
    <row r="604" spans="1:10" ht="14.25" customHeight="1" x14ac:dyDescent="0.35">
      <c r="A604">
        <v>603</v>
      </c>
      <c r="B604">
        <v>158</v>
      </c>
      <c r="C604" t="s">
        <v>198</v>
      </c>
      <c r="D604" t="s">
        <v>199</v>
      </c>
      <c r="E604" t="s">
        <v>467</v>
      </c>
      <c r="F604" s="36" t="s">
        <v>467</v>
      </c>
      <c r="G604" s="31">
        <v>1</v>
      </c>
      <c r="H604" s="42">
        <v>4</v>
      </c>
      <c r="I604" t="str">
        <f>IF(H604="Track 1",IFERROR(_xlfn.XLOOKUP("*"&amp;LEFT(C604,FIND(" ",C604&amp;" ")-1)&amp;"*",'[1]Track 1'!$C$1:$C$99,'[1]Track 1'!$A$1:$A$99,,2),IFERROR(_xlfn.XLOOKUP("*"&amp;LEFT(C604,FIND(" ",C604&amp;" ")-1)&amp;"*",'[1]Track 1'!$H$1:$H$99,'[1]Track 1'!$E$1:$E$99,,2),"")),"")</f>
        <v/>
      </c>
      <c r="J604" s="15" t="s">
        <v>134</v>
      </c>
    </row>
    <row r="605" spans="1:10" ht="14.25" customHeight="1" x14ac:dyDescent="0.35">
      <c r="A605">
        <v>604</v>
      </c>
      <c r="B605">
        <v>159</v>
      </c>
      <c r="C605" t="s">
        <v>509</v>
      </c>
      <c r="D605" t="s">
        <v>16</v>
      </c>
      <c r="E605" t="s">
        <v>467</v>
      </c>
      <c r="F605" s="36" t="s">
        <v>467</v>
      </c>
      <c r="G605" s="31">
        <v>1</v>
      </c>
      <c r="H605" s="42">
        <v>4</v>
      </c>
      <c r="I605" t="str">
        <f>IF(H605="Track 1",IFERROR(_xlfn.XLOOKUP("*"&amp;LEFT(C605,FIND(" ",C605&amp;" ")-1)&amp;"*",'[1]Track 1'!$C$1:$C$99,'[1]Track 1'!$A$1:$A$99,,2),IFERROR(_xlfn.XLOOKUP("*"&amp;LEFT(C605,FIND(" ",C605&amp;" ")-1)&amp;"*",'[1]Track 1'!$H$1:$H$99,'[1]Track 1'!$E$1:$E$99,,2),"")),"")</f>
        <v/>
      </c>
      <c r="J605" s="15" t="s">
        <v>134</v>
      </c>
    </row>
    <row r="606" spans="1:10" ht="14.25" customHeight="1" x14ac:dyDescent="0.35">
      <c r="A606">
        <v>605</v>
      </c>
      <c r="B606">
        <v>160</v>
      </c>
      <c r="C606" t="s">
        <v>590</v>
      </c>
      <c r="D606" t="s">
        <v>591</v>
      </c>
      <c r="E606" t="s">
        <v>467</v>
      </c>
      <c r="F606" s="36" t="s">
        <v>467</v>
      </c>
      <c r="G606" s="31">
        <v>1</v>
      </c>
      <c r="H606" s="42">
        <v>4</v>
      </c>
      <c r="I606" t="str">
        <f>IF(H606="Track 1",IFERROR(_xlfn.XLOOKUP("*"&amp;LEFT(C606,FIND(" ",C606&amp;" ")-1)&amp;"*",'[1]Track 1'!$C$1:$C$99,'[1]Track 1'!$A$1:$A$99,,2),IFERROR(_xlfn.XLOOKUP("*"&amp;LEFT(C606,FIND(" ",C606&amp;" ")-1)&amp;"*",'[1]Track 1'!$H$1:$H$99,'[1]Track 1'!$E$1:$E$99,,2),"")),"")</f>
        <v/>
      </c>
      <c r="J606" s="15" t="s">
        <v>134</v>
      </c>
    </row>
    <row r="607" spans="1:10" ht="14.25" customHeight="1" x14ac:dyDescent="0.35">
      <c r="A607">
        <v>606</v>
      </c>
      <c r="B607">
        <v>161</v>
      </c>
      <c r="C607" t="s">
        <v>592</v>
      </c>
      <c r="D607" t="s">
        <v>265</v>
      </c>
      <c r="E607" t="s">
        <v>467</v>
      </c>
      <c r="F607" s="36" t="s">
        <v>467</v>
      </c>
      <c r="G607" s="31">
        <v>1</v>
      </c>
      <c r="H607" s="42">
        <v>4</v>
      </c>
      <c r="I607" t="str">
        <f>IF(H607="Track 1",IFERROR(_xlfn.XLOOKUP("*"&amp;LEFT(C607,FIND(" ",C607&amp;" ")-1)&amp;"*",'[1]Track 1'!$C$1:$C$99,'[1]Track 1'!$A$1:$A$99,,2),IFERROR(_xlfn.XLOOKUP("*"&amp;LEFT(C607,FIND(" ",C607&amp;" ")-1)&amp;"*",'[1]Track 1'!$H$1:$H$99,'[1]Track 1'!$E$1:$E$99,,2),"")),"")</f>
        <v/>
      </c>
      <c r="J607" s="15" t="s">
        <v>134</v>
      </c>
    </row>
    <row r="608" spans="1:10" ht="14.25" customHeight="1" x14ac:dyDescent="0.35">
      <c r="A608">
        <v>607</v>
      </c>
      <c r="B608">
        <v>162</v>
      </c>
      <c r="C608" t="s">
        <v>593</v>
      </c>
      <c r="D608" t="s">
        <v>39</v>
      </c>
      <c r="E608" t="s">
        <v>467</v>
      </c>
      <c r="F608" s="36" t="s">
        <v>467</v>
      </c>
      <c r="G608" s="31">
        <v>1</v>
      </c>
      <c r="H608" s="42">
        <v>4</v>
      </c>
      <c r="I608" t="str">
        <f>IF(H608="Track 1",IFERROR(_xlfn.XLOOKUP("*"&amp;LEFT(C608,FIND(" ",C608&amp;" ")-1)&amp;"*",'[1]Track 1'!$C$1:$C$99,'[1]Track 1'!$A$1:$A$99,,2),IFERROR(_xlfn.XLOOKUP("*"&amp;LEFT(C608,FIND(" ",C608&amp;" ")-1)&amp;"*",'[1]Track 1'!$H$1:$H$99,'[1]Track 1'!$E$1:$E$99,,2),"")),"")</f>
        <v/>
      </c>
      <c r="J608" s="15" t="s">
        <v>134</v>
      </c>
    </row>
    <row r="609" spans="1:10" ht="14.25" customHeight="1" x14ac:dyDescent="0.35">
      <c r="A609">
        <v>608</v>
      </c>
      <c r="B609">
        <v>163</v>
      </c>
      <c r="C609" t="s">
        <v>593</v>
      </c>
      <c r="D609" t="s">
        <v>39</v>
      </c>
      <c r="E609" t="s">
        <v>467</v>
      </c>
      <c r="F609" s="36" t="s">
        <v>467</v>
      </c>
      <c r="G609" s="31">
        <v>1</v>
      </c>
      <c r="H609" s="42">
        <v>4</v>
      </c>
      <c r="I609" t="str">
        <f>IF(H609="Track 1",IFERROR(_xlfn.XLOOKUP("*"&amp;LEFT(C609,FIND(" ",C609&amp;" ")-1)&amp;"*",'[1]Track 1'!$C$1:$C$99,'[1]Track 1'!$A$1:$A$99,,2),IFERROR(_xlfn.XLOOKUP("*"&amp;LEFT(C609,FIND(" ",C609&amp;" ")-1)&amp;"*",'[1]Track 1'!$H$1:$H$99,'[1]Track 1'!$E$1:$E$99,,2),"")),"")</f>
        <v/>
      </c>
      <c r="J609" s="15" t="s">
        <v>134</v>
      </c>
    </row>
    <row r="610" spans="1:10" ht="14.25" customHeight="1" x14ac:dyDescent="0.35">
      <c r="A610">
        <v>609</v>
      </c>
      <c r="B610">
        <v>164</v>
      </c>
      <c r="C610" t="s">
        <v>594</v>
      </c>
      <c r="D610" t="s">
        <v>132</v>
      </c>
      <c r="E610" t="s">
        <v>467</v>
      </c>
      <c r="F610" s="36" t="s">
        <v>467</v>
      </c>
      <c r="G610" s="31">
        <v>1</v>
      </c>
      <c r="H610" s="42">
        <v>4</v>
      </c>
      <c r="I610" t="str">
        <f>IF(H610="Track 1",IFERROR(_xlfn.XLOOKUP("*"&amp;LEFT(C610,FIND(" ",C610&amp;" ")-1)&amp;"*",'[1]Track 1'!$C$1:$C$99,'[1]Track 1'!$A$1:$A$99,,2),IFERROR(_xlfn.XLOOKUP("*"&amp;LEFT(C610,FIND(" ",C610&amp;" ")-1)&amp;"*",'[1]Track 1'!$H$1:$H$99,'[1]Track 1'!$E$1:$E$99,,2),"")),"")</f>
        <v/>
      </c>
      <c r="J610" s="15" t="s">
        <v>134</v>
      </c>
    </row>
    <row r="611" spans="1:10" ht="14.25" customHeight="1" x14ac:dyDescent="0.35">
      <c r="A611">
        <v>610</v>
      </c>
      <c r="B611">
        <v>165</v>
      </c>
      <c r="C611" t="s">
        <v>451</v>
      </c>
      <c r="D611" t="s">
        <v>247</v>
      </c>
      <c r="E611" t="s">
        <v>467</v>
      </c>
      <c r="F611" s="36" t="s">
        <v>467</v>
      </c>
      <c r="G611" s="31">
        <v>1</v>
      </c>
      <c r="H611" s="42">
        <v>4</v>
      </c>
      <c r="I611" t="str">
        <f>IF(H611="Track 1",IFERROR(_xlfn.XLOOKUP("*"&amp;LEFT(C611,FIND(" ",C611&amp;" ")-1)&amp;"*",'[1]Track 1'!$C$1:$C$99,'[1]Track 1'!$A$1:$A$99,,2),IFERROR(_xlfn.XLOOKUP("*"&amp;LEFT(C611,FIND(" ",C611&amp;" ")-1)&amp;"*",'[1]Track 1'!$H$1:$H$99,'[1]Track 1'!$E$1:$E$99,,2),"")),"")</f>
        <v/>
      </c>
      <c r="J611" s="15" t="s">
        <v>134</v>
      </c>
    </row>
    <row r="612" spans="1:10" ht="14.25" customHeight="1" x14ac:dyDescent="0.35">
      <c r="A612">
        <v>611</v>
      </c>
      <c r="B612">
        <v>166</v>
      </c>
      <c r="C612" t="s">
        <v>595</v>
      </c>
      <c r="D612" t="s">
        <v>376</v>
      </c>
      <c r="E612" t="s">
        <v>467</v>
      </c>
      <c r="F612" s="36" t="s">
        <v>467</v>
      </c>
      <c r="G612" s="31">
        <v>1</v>
      </c>
      <c r="H612" s="42">
        <v>4</v>
      </c>
      <c r="I612" t="str">
        <f>IF(H612="Track 1",IFERROR(_xlfn.XLOOKUP("*"&amp;LEFT(C612,FIND(" ",C612&amp;" ")-1)&amp;"*",'[1]Track 1'!$C$1:$C$99,'[1]Track 1'!$A$1:$A$99,,2),IFERROR(_xlfn.XLOOKUP("*"&amp;LEFT(C612,FIND(" ",C612&amp;" ")-1)&amp;"*",'[1]Track 1'!$H$1:$H$99,'[1]Track 1'!$E$1:$E$99,,2),"")),"")</f>
        <v/>
      </c>
      <c r="J612" s="15" t="s">
        <v>134</v>
      </c>
    </row>
    <row r="613" spans="1:10" ht="14.25" customHeight="1" x14ac:dyDescent="0.35">
      <c r="A613">
        <v>612</v>
      </c>
      <c r="B613">
        <v>167</v>
      </c>
      <c r="C613" t="s">
        <v>596</v>
      </c>
      <c r="D613" t="s">
        <v>39</v>
      </c>
      <c r="E613" t="s">
        <v>467</v>
      </c>
      <c r="F613" s="36" t="s">
        <v>467</v>
      </c>
      <c r="G613" s="31">
        <v>1</v>
      </c>
      <c r="H613" s="42">
        <v>4</v>
      </c>
      <c r="I613" t="str">
        <f>IF(H613="Track 1",IFERROR(_xlfn.XLOOKUP("*"&amp;LEFT(C613,FIND(" ",C613&amp;" ")-1)&amp;"*",'[1]Track 1'!$C$1:$C$99,'[1]Track 1'!$A$1:$A$99,,2),IFERROR(_xlfn.XLOOKUP("*"&amp;LEFT(C613,FIND(" ",C613&amp;" ")-1)&amp;"*",'[1]Track 1'!$H$1:$H$99,'[1]Track 1'!$E$1:$E$99,,2),"")),"")</f>
        <v/>
      </c>
      <c r="J613" s="15" t="s">
        <v>134</v>
      </c>
    </row>
    <row r="614" spans="1:10" ht="14.25" customHeight="1" x14ac:dyDescent="0.35">
      <c r="A614">
        <v>613</v>
      </c>
      <c r="B614">
        <v>168</v>
      </c>
      <c r="C614" t="s">
        <v>597</v>
      </c>
      <c r="D614" t="s">
        <v>39</v>
      </c>
      <c r="E614" t="s">
        <v>467</v>
      </c>
      <c r="F614" s="36" t="s">
        <v>467</v>
      </c>
      <c r="G614" s="31">
        <v>1</v>
      </c>
      <c r="H614" s="42">
        <v>4</v>
      </c>
      <c r="I614" t="str">
        <f>IF(H614="Track 1",IFERROR(_xlfn.XLOOKUP("*"&amp;LEFT(C614,FIND(" ",C614&amp;" ")-1)&amp;"*",'[1]Track 1'!$C$1:$C$99,'[1]Track 1'!$A$1:$A$99,,2),IFERROR(_xlfn.XLOOKUP("*"&amp;LEFT(C614,FIND(" ",C614&amp;" ")-1)&amp;"*",'[1]Track 1'!$H$1:$H$99,'[1]Track 1'!$E$1:$E$99,,2),"")),"")</f>
        <v/>
      </c>
      <c r="J614" s="15" t="s">
        <v>134</v>
      </c>
    </row>
    <row r="615" spans="1:10" ht="14.25" customHeight="1" x14ac:dyDescent="0.35">
      <c r="A615">
        <v>614</v>
      </c>
      <c r="B615">
        <v>169</v>
      </c>
      <c r="C615" t="s">
        <v>598</v>
      </c>
      <c r="D615" t="s">
        <v>39</v>
      </c>
      <c r="E615" t="s">
        <v>467</v>
      </c>
      <c r="F615" s="36" t="s">
        <v>467</v>
      </c>
      <c r="G615" s="31">
        <v>1</v>
      </c>
      <c r="H615" s="42">
        <v>4</v>
      </c>
      <c r="I615" t="str">
        <f>IF(H615="Track 1",IFERROR(_xlfn.XLOOKUP("*"&amp;LEFT(C615,FIND(" ",C615&amp;" ")-1)&amp;"*",'[1]Track 1'!$C$1:$C$99,'[1]Track 1'!$A$1:$A$99,,2),IFERROR(_xlfn.XLOOKUP("*"&amp;LEFT(C615,FIND(" ",C615&amp;" ")-1)&amp;"*",'[1]Track 1'!$H$1:$H$99,'[1]Track 1'!$E$1:$E$99,,2),"")),"")</f>
        <v/>
      </c>
      <c r="J615" s="15" t="s">
        <v>134</v>
      </c>
    </row>
    <row r="616" spans="1:10" ht="14.25" customHeight="1" x14ac:dyDescent="0.35">
      <c r="A616">
        <v>615</v>
      </c>
      <c r="B616">
        <v>170</v>
      </c>
      <c r="C616" t="s">
        <v>487</v>
      </c>
      <c r="D616" t="s">
        <v>39</v>
      </c>
      <c r="E616" t="s">
        <v>467</v>
      </c>
      <c r="F616" s="36" t="s">
        <v>467</v>
      </c>
      <c r="G616" s="31">
        <v>1</v>
      </c>
      <c r="H616" s="42">
        <v>4</v>
      </c>
      <c r="I616" t="str">
        <f>IF(H616="Track 1",IFERROR(_xlfn.XLOOKUP("*"&amp;LEFT(C616,FIND(" ",C616&amp;" ")-1)&amp;"*",'[1]Track 1'!$C$1:$C$99,'[1]Track 1'!$A$1:$A$99,,2),IFERROR(_xlfn.XLOOKUP("*"&amp;LEFT(C616,FIND(" ",C616&amp;" ")-1)&amp;"*",'[1]Track 1'!$H$1:$H$99,'[1]Track 1'!$E$1:$E$99,,2),"")),"")</f>
        <v/>
      </c>
      <c r="J616" s="15" t="s">
        <v>134</v>
      </c>
    </row>
    <row r="617" spans="1:10" ht="14.25" customHeight="1" x14ac:dyDescent="0.35">
      <c r="A617">
        <v>616</v>
      </c>
      <c r="B617">
        <v>171</v>
      </c>
      <c r="C617" t="s">
        <v>599</v>
      </c>
      <c r="D617" t="s">
        <v>247</v>
      </c>
      <c r="E617" t="s">
        <v>467</v>
      </c>
      <c r="F617" s="36" t="s">
        <v>467</v>
      </c>
      <c r="G617" s="31">
        <v>1</v>
      </c>
      <c r="H617" s="42">
        <v>4</v>
      </c>
      <c r="I617" t="str">
        <f>IF(H617="Track 1",IFERROR(_xlfn.XLOOKUP("*"&amp;LEFT(C617,FIND(" ",C617&amp;" ")-1)&amp;"*",'[1]Track 1'!$C$1:$C$99,'[1]Track 1'!$A$1:$A$99,,2),IFERROR(_xlfn.XLOOKUP("*"&amp;LEFT(C617,FIND(" ",C617&amp;" ")-1)&amp;"*",'[1]Track 1'!$H$1:$H$99,'[1]Track 1'!$E$1:$E$99,,2),"")),"")</f>
        <v/>
      </c>
      <c r="J617" s="15" t="s">
        <v>134</v>
      </c>
    </row>
    <row r="618" spans="1:10" ht="14.25" customHeight="1" x14ac:dyDescent="0.35">
      <c r="A618">
        <v>617</v>
      </c>
      <c r="B618">
        <v>172</v>
      </c>
      <c r="C618" t="s">
        <v>600</v>
      </c>
      <c r="D618" t="s">
        <v>188</v>
      </c>
      <c r="E618" t="s">
        <v>467</v>
      </c>
      <c r="F618" s="36" t="s">
        <v>467</v>
      </c>
      <c r="G618" s="31">
        <v>1</v>
      </c>
      <c r="H618" s="42">
        <v>4</v>
      </c>
      <c r="I618" t="str">
        <f>IF(H618="Track 1",IFERROR(_xlfn.XLOOKUP("*"&amp;LEFT(C618,FIND(" ",C618&amp;" ")-1)&amp;"*",'[1]Track 1'!$C$1:$C$99,'[1]Track 1'!$A$1:$A$99,,2),IFERROR(_xlfn.XLOOKUP("*"&amp;LEFT(C618,FIND(" ",C618&amp;" ")-1)&amp;"*",'[1]Track 1'!$H$1:$H$99,'[1]Track 1'!$E$1:$E$99,,2),"")),"")</f>
        <v/>
      </c>
      <c r="J618" s="15" t="s">
        <v>134</v>
      </c>
    </row>
    <row r="619" spans="1:10" ht="14.25" customHeight="1" x14ac:dyDescent="0.35">
      <c r="A619">
        <v>618</v>
      </c>
      <c r="B619">
        <v>173</v>
      </c>
      <c r="C619" t="s">
        <v>601</v>
      </c>
      <c r="D619" t="s">
        <v>16</v>
      </c>
      <c r="E619" t="s">
        <v>467</v>
      </c>
      <c r="F619" s="36" t="s">
        <v>467</v>
      </c>
      <c r="G619" s="31">
        <v>1</v>
      </c>
      <c r="H619" s="42">
        <v>4</v>
      </c>
      <c r="I619" t="str">
        <f>IF(H619="Track 1",IFERROR(_xlfn.XLOOKUP("*"&amp;LEFT(C619,FIND(" ",C619&amp;" ")-1)&amp;"*",'[1]Track 1'!$C$1:$C$99,'[1]Track 1'!$A$1:$A$99,,2),IFERROR(_xlfn.XLOOKUP("*"&amp;LEFT(C619,FIND(" ",C619&amp;" ")-1)&amp;"*",'[1]Track 1'!$H$1:$H$99,'[1]Track 1'!$E$1:$E$99,,2),"")),"")</f>
        <v/>
      </c>
      <c r="J619" s="15" t="s">
        <v>134</v>
      </c>
    </row>
    <row r="620" spans="1:10" ht="14.25" customHeight="1" x14ac:dyDescent="0.35">
      <c r="A620">
        <v>619</v>
      </c>
      <c r="B620">
        <v>174</v>
      </c>
      <c r="C620" t="s">
        <v>602</v>
      </c>
      <c r="D620" t="s">
        <v>603</v>
      </c>
      <c r="E620" t="s">
        <v>467</v>
      </c>
      <c r="F620" s="36" t="s">
        <v>467</v>
      </c>
      <c r="G620" s="31">
        <v>1</v>
      </c>
      <c r="H620" s="42">
        <v>4</v>
      </c>
      <c r="I620" t="str">
        <f>IF(H620="Track 1",IFERROR(_xlfn.XLOOKUP("*"&amp;LEFT(C620,FIND(" ",C620&amp;" ")-1)&amp;"*",'[1]Track 1'!$C$1:$C$99,'[1]Track 1'!$A$1:$A$99,,2),IFERROR(_xlfn.XLOOKUP("*"&amp;LEFT(C620,FIND(" ",C620&amp;" ")-1)&amp;"*",'[1]Track 1'!$H$1:$H$99,'[1]Track 1'!$E$1:$E$99,,2),"")),"")</f>
        <v/>
      </c>
      <c r="J620" s="15" t="s">
        <v>134</v>
      </c>
    </row>
    <row r="621" spans="1:10" ht="14.25" customHeight="1" x14ac:dyDescent="0.35">
      <c r="A621">
        <v>620</v>
      </c>
      <c r="B621">
        <v>175</v>
      </c>
      <c r="C621" t="s">
        <v>582</v>
      </c>
      <c r="D621" t="s">
        <v>31</v>
      </c>
      <c r="E621" t="s">
        <v>467</v>
      </c>
      <c r="F621" s="36" t="s">
        <v>467</v>
      </c>
      <c r="G621" s="31">
        <v>1</v>
      </c>
      <c r="H621" s="42">
        <v>4</v>
      </c>
      <c r="I621" t="str">
        <f>IF(H621="Track 1",IFERROR(_xlfn.XLOOKUP("*"&amp;LEFT(C621,FIND(" ",C621&amp;" ")-1)&amp;"*",'[1]Track 1'!$C$1:$C$99,'[1]Track 1'!$A$1:$A$99,,2),IFERROR(_xlfn.XLOOKUP("*"&amp;LEFT(C621,FIND(" ",C621&amp;" ")-1)&amp;"*",'[1]Track 1'!$H$1:$H$99,'[1]Track 1'!$E$1:$E$99,,2),"")),"")</f>
        <v/>
      </c>
      <c r="J621" s="15" t="s">
        <v>134</v>
      </c>
    </row>
    <row r="622" spans="1:10" ht="14.25" customHeight="1" x14ac:dyDescent="0.35">
      <c r="G622" s="31"/>
      <c r="H622" s="45"/>
    </row>
    <row r="623" spans="1:10" ht="14.25" customHeight="1" x14ac:dyDescent="0.35">
      <c r="G623" s="31"/>
      <c r="H623" s="45"/>
    </row>
    <row r="624" spans="1:10" ht="14.25" customHeight="1" x14ac:dyDescent="0.35">
      <c r="G624" s="31"/>
      <c r="H624" s="45"/>
    </row>
    <row r="625" spans="7:8" ht="14.25" customHeight="1" x14ac:dyDescent="0.35">
      <c r="G625" s="31"/>
      <c r="H625" s="45"/>
    </row>
    <row r="626" spans="7:8" ht="14.25" customHeight="1" x14ac:dyDescent="0.35">
      <c r="G626" s="31"/>
      <c r="H626" s="45"/>
    </row>
    <row r="627" spans="7:8" ht="14.25" customHeight="1" x14ac:dyDescent="0.35">
      <c r="G627" s="31"/>
      <c r="H627" s="45"/>
    </row>
    <row r="628" spans="7:8" ht="14.25" customHeight="1" x14ac:dyDescent="0.35">
      <c r="G628" s="31"/>
      <c r="H628" s="45"/>
    </row>
    <row r="629" spans="7:8" ht="14.25" customHeight="1" x14ac:dyDescent="0.35">
      <c r="G629" s="31"/>
      <c r="H629" s="45"/>
    </row>
    <row r="630" spans="7:8" ht="14.25" customHeight="1" x14ac:dyDescent="0.35">
      <c r="G630" s="31"/>
      <c r="H630" s="45"/>
    </row>
    <row r="631" spans="7:8" ht="14.25" customHeight="1" x14ac:dyDescent="0.35">
      <c r="G631" s="31"/>
      <c r="H631" s="45"/>
    </row>
    <row r="632" spans="7:8" ht="14.25" customHeight="1" x14ac:dyDescent="0.35">
      <c r="G632" s="31"/>
      <c r="H632" s="45"/>
    </row>
    <row r="633" spans="7:8" ht="14.25" customHeight="1" x14ac:dyDescent="0.35">
      <c r="G633" s="31"/>
      <c r="H633" s="45"/>
    </row>
    <row r="634" spans="7:8" ht="14.25" customHeight="1" x14ac:dyDescent="0.35">
      <c r="G634" s="31"/>
      <c r="H634" s="45"/>
    </row>
    <row r="635" spans="7:8" ht="14.25" customHeight="1" x14ac:dyDescent="0.35">
      <c r="G635" s="31"/>
      <c r="H635" s="45"/>
    </row>
    <row r="636" spans="7:8" ht="14.25" customHeight="1" x14ac:dyDescent="0.35">
      <c r="G636" s="31"/>
      <c r="H636" s="45"/>
    </row>
    <row r="637" spans="7:8" ht="14.25" customHeight="1" x14ac:dyDescent="0.35">
      <c r="G637" s="31"/>
      <c r="H637" s="45"/>
    </row>
    <row r="638" spans="7:8" ht="14.25" customHeight="1" x14ac:dyDescent="0.35">
      <c r="G638" s="31"/>
      <c r="H638" s="45"/>
    </row>
    <row r="639" spans="7:8" ht="14.25" customHeight="1" x14ac:dyDescent="0.35">
      <c r="G639" s="31"/>
      <c r="H639" s="45"/>
    </row>
    <row r="640" spans="7:8" ht="14.25" customHeight="1" x14ac:dyDescent="0.35">
      <c r="G640" s="31"/>
      <c r="H640" s="45"/>
    </row>
    <row r="641" spans="7:8" ht="14.25" customHeight="1" x14ac:dyDescent="0.35">
      <c r="G641" s="31"/>
      <c r="H641" s="45"/>
    </row>
    <row r="642" spans="7:8" ht="14.25" customHeight="1" x14ac:dyDescent="0.35">
      <c r="G642" s="31"/>
      <c r="H642" s="45"/>
    </row>
    <row r="643" spans="7:8" ht="14.25" customHeight="1" x14ac:dyDescent="0.35">
      <c r="G643" s="31"/>
      <c r="H643" s="45"/>
    </row>
    <row r="644" spans="7:8" ht="14.25" customHeight="1" x14ac:dyDescent="0.35">
      <c r="G644" s="31"/>
      <c r="H644" s="45"/>
    </row>
    <row r="645" spans="7:8" ht="14.25" customHeight="1" x14ac:dyDescent="0.35">
      <c r="G645" s="31"/>
      <c r="H645" s="45"/>
    </row>
    <row r="646" spans="7:8" ht="14.25" customHeight="1" x14ac:dyDescent="0.35">
      <c r="G646" s="31"/>
      <c r="H646" s="45"/>
    </row>
    <row r="647" spans="7:8" ht="14.25" customHeight="1" x14ac:dyDescent="0.35">
      <c r="G647" s="31"/>
      <c r="H647" s="45"/>
    </row>
    <row r="648" spans="7:8" ht="14.25" customHeight="1" x14ac:dyDescent="0.35">
      <c r="G648" s="31"/>
      <c r="H648" s="45"/>
    </row>
    <row r="649" spans="7:8" ht="14.25" customHeight="1" x14ac:dyDescent="0.35">
      <c r="G649" s="31"/>
      <c r="H649" s="45"/>
    </row>
    <row r="650" spans="7:8" ht="14.25" customHeight="1" x14ac:dyDescent="0.35">
      <c r="G650" s="31"/>
      <c r="H650" s="45"/>
    </row>
    <row r="651" spans="7:8" ht="14.25" customHeight="1" x14ac:dyDescent="0.35">
      <c r="G651" s="31"/>
      <c r="H651" s="45"/>
    </row>
    <row r="652" spans="7:8" ht="14.25" customHeight="1" x14ac:dyDescent="0.35">
      <c r="G652" s="31"/>
      <c r="H652" s="45"/>
    </row>
    <row r="653" spans="7:8" ht="14.25" customHeight="1" x14ac:dyDescent="0.35">
      <c r="G653" s="31"/>
      <c r="H653" s="45"/>
    </row>
    <row r="654" spans="7:8" ht="14.25" customHeight="1" x14ac:dyDescent="0.35">
      <c r="G654" s="31"/>
      <c r="H654" s="45"/>
    </row>
    <row r="655" spans="7:8" ht="14.25" customHeight="1" x14ac:dyDescent="0.35">
      <c r="G655" s="31"/>
      <c r="H655" s="45"/>
    </row>
    <row r="656" spans="7:8" ht="14.25" customHeight="1" x14ac:dyDescent="0.35">
      <c r="G656" s="31"/>
      <c r="H656" s="45"/>
    </row>
    <row r="657" spans="7:8" ht="14.25" customHeight="1" x14ac:dyDescent="0.35">
      <c r="G657" s="31"/>
      <c r="H657" s="45"/>
    </row>
    <row r="658" spans="7:8" ht="14.25" customHeight="1" x14ac:dyDescent="0.35">
      <c r="G658" s="31"/>
      <c r="H658" s="45"/>
    </row>
    <row r="659" spans="7:8" ht="14.25" customHeight="1" x14ac:dyDescent="0.35">
      <c r="G659" s="31"/>
      <c r="H659" s="45"/>
    </row>
    <row r="660" spans="7:8" ht="14.25" customHeight="1" x14ac:dyDescent="0.35">
      <c r="G660" s="31"/>
      <c r="H660" s="45"/>
    </row>
    <row r="661" spans="7:8" ht="14.25" customHeight="1" x14ac:dyDescent="0.35">
      <c r="G661" s="31"/>
      <c r="H661" s="45"/>
    </row>
    <row r="662" spans="7:8" ht="14.25" customHeight="1" x14ac:dyDescent="0.35">
      <c r="G662" s="31"/>
      <c r="H662" s="45"/>
    </row>
    <row r="663" spans="7:8" ht="14.25" customHeight="1" x14ac:dyDescent="0.35">
      <c r="G663" s="31"/>
      <c r="H663" s="45"/>
    </row>
    <row r="664" spans="7:8" ht="14.25" customHeight="1" x14ac:dyDescent="0.35">
      <c r="G664" s="31"/>
      <c r="H664" s="45"/>
    </row>
    <row r="665" spans="7:8" ht="14.25" customHeight="1" x14ac:dyDescent="0.35">
      <c r="G665" s="31"/>
      <c r="H665" s="45"/>
    </row>
    <row r="666" spans="7:8" ht="14.25" customHeight="1" x14ac:dyDescent="0.35">
      <c r="G666" s="31"/>
      <c r="H666" s="45"/>
    </row>
    <row r="667" spans="7:8" ht="14.25" customHeight="1" x14ac:dyDescent="0.35">
      <c r="G667" s="31"/>
      <c r="H667" s="45"/>
    </row>
    <row r="668" spans="7:8" ht="14.25" customHeight="1" x14ac:dyDescent="0.35">
      <c r="G668" s="31"/>
      <c r="H668" s="45"/>
    </row>
    <row r="669" spans="7:8" ht="14.25" customHeight="1" x14ac:dyDescent="0.35">
      <c r="G669" s="31"/>
      <c r="H669" s="45"/>
    </row>
    <row r="670" spans="7:8" ht="14.25" customHeight="1" x14ac:dyDescent="0.35">
      <c r="G670" s="31"/>
      <c r="H670" s="45"/>
    </row>
    <row r="671" spans="7:8" ht="14.25" customHeight="1" x14ac:dyDescent="0.35">
      <c r="G671" s="31"/>
      <c r="H671" s="45"/>
    </row>
    <row r="672" spans="7:8" ht="14.25" customHeight="1" x14ac:dyDescent="0.35">
      <c r="G672" s="31"/>
      <c r="H672" s="45"/>
    </row>
    <row r="673" spans="7:8" ht="14.25" customHeight="1" x14ac:dyDescent="0.35">
      <c r="G673" s="31"/>
      <c r="H673" s="45"/>
    </row>
    <row r="674" spans="7:8" ht="14.25" customHeight="1" x14ac:dyDescent="0.35">
      <c r="G674" s="31"/>
      <c r="H674" s="45"/>
    </row>
    <row r="675" spans="7:8" ht="14.25" customHeight="1" x14ac:dyDescent="0.35">
      <c r="G675" s="31"/>
      <c r="H675" s="45"/>
    </row>
    <row r="676" spans="7:8" ht="14.25" customHeight="1" x14ac:dyDescent="0.35">
      <c r="G676" s="31"/>
      <c r="H676" s="45"/>
    </row>
    <row r="677" spans="7:8" ht="14.25" customHeight="1" x14ac:dyDescent="0.35">
      <c r="G677" s="31"/>
      <c r="H677" s="45"/>
    </row>
    <row r="678" spans="7:8" ht="14.25" customHeight="1" x14ac:dyDescent="0.35">
      <c r="G678" s="31"/>
      <c r="H678" s="45"/>
    </row>
    <row r="679" spans="7:8" ht="14.25" customHeight="1" x14ac:dyDescent="0.35">
      <c r="G679" s="31"/>
      <c r="H679" s="45"/>
    </row>
    <row r="680" spans="7:8" ht="14.25" customHeight="1" x14ac:dyDescent="0.35">
      <c r="G680" s="31"/>
      <c r="H680" s="45"/>
    </row>
    <row r="681" spans="7:8" ht="14.25" customHeight="1" x14ac:dyDescent="0.35">
      <c r="G681" s="31"/>
      <c r="H681" s="45"/>
    </row>
    <row r="682" spans="7:8" ht="14.25" customHeight="1" x14ac:dyDescent="0.35">
      <c r="G682" s="31"/>
      <c r="H682" s="45"/>
    </row>
    <row r="683" spans="7:8" ht="14.25" customHeight="1" x14ac:dyDescent="0.35">
      <c r="G683" s="31"/>
      <c r="H683" s="45"/>
    </row>
    <row r="684" spans="7:8" ht="14.25" customHeight="1" x14ac:dyDescent="0.35">
      <c r="G684" s="31"/>
      <c r="H684" s="45"/>
    </row>
    <row r="685" spans="7:8" ht="14.25" customHeight="1" x14ac:dyDescent="0.35">
      <c r="G685" s="31"/>
      <c r="H685" s="45"/>
    </row>
    <row r="686" spans="7:8" ht="14.25" customHeight="1" x14ac:dyDescent="0.35">
      <c r="G686" s="31"/>
      <c r="H686" s="45"/>
    </row>
    <row r="687" spans="7:8" ht="14.25" customHeight="1" x14ac:dyDescent="0.35">
      <c r="G687" s="31"/>
      <c r="H687" s="45"/>
    </row>
    <row r="688" spans="7:8" ht="14.25" customHeight="1" x14ac:dyDescent="0.35">
      <c r="G688" s="31"/>
      <c r="H688" s="45"/>
    </row>
    <row r="689" spans="7:8" ht="14.25" customHeight="1" x14ac:dyDescent="0.35">
      <c r="G689" s="31"/>
      <c r="H689" s="45"/>
    </row>
    <row r="690" spans="7:8" ht="14.25" customHeight="1" x14ac:dyDescent="0.35">
      <c r="G690" s="31"/>
      <c r="H690" s="45"/>
    </row>
    <row r="691" spans="7:8" ht="14.25" customHeight="1" x14ac:dyDescent="0.35">
      <c r="G691" s="31"/>
      <c r="H691" s="45"/>
    </row>
    <row r="692" spans="7:8" ht="14.25" customHeight="1" x14ac:dyDescent="0.35">
      <c r="G692" s="31"/>
      <c r="H692" s="45"/>
    </row>
    <row r="693" spans="7:8" ht="14.25" customHeight="1" x14ac:dyDescent="0.35">
      <c r="G693" s="31"/>
      <c r="H693" s="45"/>
    </row>
    <row r="694" spans="7:8" ht="14.25" customHeight="1" x14ac:dyDescent="0.35">
      <c r="G694" s="31"/>
      <c r="H694" s="45"/>
    </row>
    <row r="695" spans="7:8" ht="14.25" customHeight="1" x14ac:dyDescent="0.35">
      <c r="G695" s="31"/>
      <c r="H695" s="45"/>
    </row>
    <row r="696" spans="7:8" ht="14.25" customHeight="1" x14ac:dyDescent="0.35">
      <c r="G696" s="31"/>
      <c r="H696" s="45"/>
    </row>
    <row r="697" spans="7:8" ht="14.25" customHeight="1" x14ac:dyDescent="0.35">
      <c r="G697" s="31"/>
      <c r="H697" s="45"/>
    </row>
    <row r="698" spans="7:8" ht="14.25" customHeight="1" x14ac:dyDescent="0.35">
      <c r="G698" s="31"/>
      <c r="H698" s="45"/>
    </row>
    <row r="699" spans="7:8" ht="14.25" customHeight="1" x14ac:dyDescent="0.35">
      <c r="G699" s="31"/>
      <c r="H699" s="45"/>
    </row>
    <row r="700" spans="7:8" ht="14.25" customHeight="1" x14ac:dyDescent="0.35">
      <c r="G700" s="31"/>
      <c r="H700" s="45"/>
    </row>
    <row r="701" spans="7:8" ht="14.25" customHeight="1" x14ac:dyDescent="0.35">
      <c r="G701" s="31"/>
      <c r="H701" s="45"/>
    </row>
    <row r="702" spans="7:8" ht="14.25" customHeight="1" x14ac:dyDescent="0.35">
      <c r="G702" s="31"/>
      <c r="H702" s="45"/>
    </row>
    <row r="703" spans="7:8" ht="14.25" customHeight="1" x14ac:dyDescent="0.35">
      <c r="G703" s="31"/>
      <c r="H703" s="45"/>
    </row>
    <row r="704" spans="7:8" ht="14.25" customHeight="1" x14ac:dyDescent="0.35">
      <c r="G704" s="31"/>
      <c r="H704" s="45"/>
    </row>
    <row r="705" spans="7:8" ht="14.25" customHeight="1" x14ac:dyDescent="0.35">
      <c r="G705" s="31"/>
      <c r="H705" s="45"/>
    </row>
    <row r="706" spans="7:8" ht="14.25" customHeight="1" x14ac:dyDescent="0.35">
      <c r="G706" s="31"/>
      <c r="H706" s="45"/>
    </row>
    <row r="707" spans="7:8" ht="14.25" customHeight="1" x14ac:dyDescent="0.35">
      <c r="G707" s="31"/>
      <c r="H707" s="45"/>
    </row>
    <row r="708" spans="7:8" ht="14.25" customHeight="1" x14ac:dyDescent="0.35">
      <c r="G708" s="31"/>
      <c r="H708" s="45"/>
    </row>
    <row r="709" spans="7:8" ht="14.25" customHeight="1" x14ac:dyDescent="0.35">
      <c r="G709" s="31"/>
      <c r="H709" s="45"/>
    </row>
    <row r="710" spans="7:8" ht="14.25" customHeight="1" x14ac:dyDescent="0.35">
      <c r="G710" s="31"/>
      <c r="H710" s="45"/>
    </row>
    <row r="711" spans="7:8" ht="14.25" customHeight="1" x14ac:dyDescent="0.35">
      <c r="G711" s="31"/>
      <c r="H711" s="45"/>
    </row>
    <row r="712" spans="7:8" ht="14.25" customHeight="1" x14ac:dyDescent="0.35">
      <c r="G712" s="31"/>
      <c r="H712" s="45"/>
    </row>
    <row r="713" spans="7:8" ht="14.25" customHeight="1" x14ac:dyDescent="0.35">
      <c r="G713" s="31"/>
      <c r="H713" s="45"/>
    </row>
    <row r="714" spans="7:8" ht="14.25" customHeight="1" x14ac:dyDescent="0.35">
      <c r="G714" s="31"/>
      <c r="H714" s="45"/>
    </row>
    <row r="715" spans="7:8" ht="14.25" customHeight="1" x14ac:dyDescent="0.35">
      <c r="G715" s="31"/>
      <c r="H715" s="45"/>
    </row>
    <row r="716" spans="7:8" ht="14.25" customHeight="1" x14ac:dyDescent="0.35">
      <c r="G716" s="31"/>
      <c r="H716" s="45"/>
    </row>
    <row r="717" spans="7:8" ht="14.25" customHeight="1" x14ac:dyDescent="0.35">
      <c r="G717" s="31"/>
      <c r="H717" s="45"/>
    </row>
    <row r="718" spans="7:8" ht="14.25" customHeight="1" x14ac:dyDescent="0.35">
      <c r="G718" s="31"/>
      <c r="H718" s="45"/>
    </row>
    <row r="719" spans="7:8" ht="14.25" customHeight="1" x14ac:dyDescent="0.35">
      <c r="G719" s="31"/>
      <c r="H719" s="45"/>
    </row>
    <row r="720" spans="7:8" ht="14.25" customHeight="1" x14ac:dyDescent="0.35">
      <c r="G720" s="31"/>
      <c r="H720" s="45"/>
    </row>
    <row r="721" spans="7:8" ht="14.25" customHeight="1" x14ac:dyDescent="0.35">
      <c r="G721" s="31"/>
      <c r="H721" s="45"/>
    </row>
    <row r="722" spans="7:8" ht="14.25" customHeight="1" x14ac:dyDescent="0.35">
      <c r="G722" s="31"/>
      <c r="H722" s="45"/>
    </row>
    <row r="723" spans="7:8" ht="14.25" customHeight="1" x14ac:dyDescent="0.35">
      <c r="G723" s="31"/>
      <c r="H723" s="45"/>
    </row>
    <row r="724" spans="7:8" ht="14.25" customHeight="1" x14ac:dyDescent="0.35">
      <c r="G724" s="31"/>
      <c r="H724" s="45"/>
    </row>
    <row r="725" spans="7:8" ht="14.25" customHeight="1" x14ac:dyDescent="0.35">
      <c r="G725" s="31"/>
      <c r="H725" s="45"/>
    </row>
    <row r="726" spans="7:8" ht="14.25" customHeight="1" x14ac:dyDescent="0.35">
      <c r="G726" s="31"/>
      <c r="H726" s="45"/>
    </row>
    <row r="727" spans="7:8" ht="14.25" customHeight="1" x14ac:dyDescent="0.35">
      <c r="G727" s="31"/>
      <c r="H727" s="45"/>
    </row>
    <row r="728" spans="7:8" ht="14.25" customHeight="1" x14ac:dyDescent="0.35">
      <c r="G728" s="31"/>
      <c r="H728" s="45"/>
    </row>
    <row r="729" spans="7:8" ht="14.25" customHeight="1" x14ac:dyDescent="0.35">
      <c r="G729" s="31"/>
      <c r="H729" s="45"/>
    </row>
    <row r="730" spans="7:8" ht="14.25" customHeight="1" x14ac:dyDescent="0.35">
      <c r="G730" s="31"/>
      <c r="H730" s="45"/>
    </row>
    <row r="731" spans="7:8" ht="14.25" customHeight="1" x14ac:dyDescent="0.35">
      <c r="G731" s="31"/>
      <c r="H731" s="45"/>
    </row>
    <row r="732" spans="7:8" ht="14.25" customHeight="1" x14ac:dyDescent="0.35">
      <c r="G732" s="31"/>
      <c r="H732" s="45"/>
    </row>
    <row r="733" spans="7:8" ht="14.25" customHeight="1" x14ac:dyDescent="0.35">
      <c r="G733" s="31"/>
      <c r="H733" s="45"/>
    </row>
    <row r="734" spans="7:8" ht="14.25" customHeight="1" x14ac:dyDescent="0.35">
      <c r="G734" s="31"/>
      <c r="H734" s="45"/>
    </row>
    <row r="735" spans="7:8" ht="14.25" customHeight="1" x14ac:dyDescent="0.35">
      <c r="G735" s="31"/>
      <c r="H735" s="45"/>
    </row>
    <row r="736" spans="7:8" ht="14.25" customHeight="1" x14ac:dyDescent="0.35">
      <c r="G736" s="31"/>
      <c r="H736" s="45"/>
    </row>
    <row r="737" spans="7:8" ht="14.25" customHeight="1" x14ac:dyDescent="0.35">
      <c r="G737" s="31"/>
      <c r="H737" s="45"/>
    </row>
    <row r="738" spans="7:8" ht="14.25" customHeight="1" x14ac:dyDescent="0.35">
      <c r="G738" s="31"/>
      <c r="H738" s="45"/>
    </row>
    <row r="739" spans="7:8" ht="14.25" customHeight="1" x14ac:dyDescent="0.35">
      <c r="G739" s="31"/>
      <c r="H739" s="45"/>
    </row>
    <row r="740" spans="7:8" ht="14.25" customHeight="1" x14ac:dyDescent="0.35">
      <c r="G740" s="31"/>
      <c r="H740" s="45"/>
    </row>
    <row r="741" spans="7:8" ht="14.25" customHeight="1" x14ac:dyDescent="0.35">
      <c r="G741" s="31"/>
      <c r="H741" s="45"/>
    </row>
    <row r="742" spans="7:8" ht="14.25" customHeight="1" x14ac:dyDescent="0.35">
      <c r="G742" s="31"/>
      <c r="H742" s="45"/>
    </row>
    <row r="743" spans="7:8" ht="14.25" customHeight="1" x14ac:dyDescent="0.35">
      <c r="G743" s="31"/>
      <c r="H743" s="45"/>
    </row>
    <row r="744" spans="7:8" ht="14.25" customHeight="1" x14ac:dyDescent="0.35">
      <c r="G744" s="31"/>
      <c r="H744" s="45"/>
    </row>
    <row r="745" spans="7:8" ht="14.25" customHeight="1" x14ac:dyDescent="0.35">
      <c r="G745" s="31"/>
      <c r="H745" s="45"/>
    </row>
    <row r="746" spans="7:8" ht="14.25" customHeight="1" x14ac:dyDescent="0.35">
      <c r="G746" s="31"/>
      <c r="H746" s="45"/>
    </row>
    <row r="747" spans="7:8" ht="14.25" customHeight="1" x14ac:dyDescent="0.35">
      <c r="G747" s="31"/>
      <c r="H747" s="45"/>
    </row>
    <row r="748" spans="7:8" ht="14.25" customHeight="1" x14ac:dyDescent="0.35">
      <c r="G748" s="31"/>
      <c r="H748" s="45"/>
    </row>
    <row r="749" spans="7:8" ht="14.25" customHeight="1" x14ac:dyDescent="0.35">
      <c r="G749" s="31"/>
      <c r="H749" s="45"/>
    </row>
    <row r="750" spans="7:8" ht="14.25" customHeight="1" x14ac:dyDescent="0.35">
      <c r="G750" s="31"/>
      <c r="H750" s="45"/>
    </row>
    <row r="751" spans="7:8" ht="14.25" customHeight="1" x14ac:dyDescent="0.35">
      <c r="G751" s="31"/>
      <c r="H751" s="45"/>
    </row>
    <row r="752" spans="7:8" ht="14.25" customHeight="1" x14ac:dyDescent="0.35">
      <c r="G752" s="31"/>
      <c r="H752" s="45"/>
    </row>
    <row r="753" spans="7:8" ht="14.25" customHeight="1" x14ac:dyDescent="0.35">
      <c r="G753" s="31"/>
      <c r="H753" s="45"/>
    </row>
    <row r="754" spans="7:8" ht="14.25" customHeight="1" x14ac:dyDescent="0.35">
      <c r="G754" s="31"/>
      <c r="H754" s="45"/>
    </row>
    <row r="755" spans="7:8" ht="14.25" customHeight="1" x14ac:dyDescent="0.35">
      <c r="G755" s="31"/>
      <c r="H755" s="45"/>
    </row>
    <row r="756" spans="7:8" ht="14.25" customHeight="1" x14ac:dyDescent="0.35">
      <c r="G756" s="31"/>
      <c r="H756" s="45"/>
    </row>
    <row r="757" spans="7:8" ht="14.25" customHeight="1" x14ac:dyDescent="0.35">
      <c r="G757" s="31"/>
      <c r="H757" s="45"/>
    </row>
    <row r="758" spans="7:8" ht="14.25" customHeight="1" x14ac:dyDescent="0.35">
      <c r="G758" s="31"/>
      <c r="H758" s="45"/>
    </row>
    <row r="759" spans="7:8" ht="14.25" customHeight="1" x14ac:dyDescent="0.35">
      <c r="G759" s="31"/>
      <c r="H759" s="45"/>
    </row>
    <row r="760" spans="7:8" ht="14.25" customHeight="1" x14ac:dyDescent="0.35">
      <c r="G760" s="31"/>
      <c r="H760" s="45"/>
    </row>
    <row r="761" spans="7:8" ht="14.25" customHeight="1" x14ac:dyDescent="0.35">
      <c r="G761" s="31"/>
      <c r="H761" s="45"/>
    </row>
    <row r="762" spans="7:8" ht="14.25" customHeight="1" x14ac:dyDescent="0.35">
      <c r="G762" s="31"/>
      <c r="H762" s="45"/>
    </row>
    <row r="763" spans="7:8" ht="14.25" customHeight="1" x14ac:dyDescent="0.35">
      <c r="G763" s="31"/>
      <c r="H763" s="45"/>
    </row>
    <row r="764" spans="7:8" ht="14.25" customHeight="1" x14ac:dyDescent="0.35">
      <c r="G764" s="31"/>
      <c r="H764" s="45"/>
    </row>
    <row r="765" spans="7:8" ht="14.25" customHeight="1" x14ac:dyDescent="0.35">
      <c r="G765" s="31"/>
      <c r="H765" s="45"/>
    </row>
    <row r="766" spans="7:8" ht="14.25" customHeight="1" x14ac:dyDescent="0.35">
      <c r="G766" s="31"/>
      <c r="H766" s="45"/>
    </row>
    <row r="767" spans="7:8" ht="14.25" customHeight="1" x14ac:dyDescent="0.35">
      <c r="G767" s="31"/>
      <c r="H767" s="45"/>
    </row>
    <row r="768" spans="7:8" ht="14.25" customHeight="1" x14ac:dyDescent="0.35">
      <c r="G768" s="31"/>
      <c r="H768" s="45"/>
    </row>
    <row r="769" spans="7:8" ht="14.25" customHeight="1" x14ac:dyDescent="0.35">
      <c r="G769" s="31"/>
      <c r="H769" s="45"/>
    </row>
    <row r="770" spans="7:8" ht="14.25" customHeight="1" x14ac:dyDescent="0.35">
      <c r="G770" s="31"/>
      <c r="H770" s="45"/>
    </row>
    <row r="771" spans="7:8" ht="14.25" customHeight="1" x14ac:dyDescent="0.35">
      <c r="G771" s="31"/>
      <c r="H771" s="45"/>
    </row>
    <row r="772" spans="7:8" ht="14.25" customHeight="1" x14ac:dyDescent="0.35">
      <c r="G772" s="31"/>
      <c r="H772" s="45"/>
    </row>
    <row r="773" spans="7:8" ht="14.25" customHeight="1" x14ac:dyDescent="0.35">
      <c r="G773" s="31"/>
      <c r="H773" s="45"/>
    </row>
    <row r="774" spans="7:8" ht="14.25" customHeight="1" x14ac:dyDescent="0.35">
      <c r="G774" s="31"/>
      <c r="H774" s="45"/>
    </row>
    <row r="775" spans="7:8" ht="14.25" customHeight="1" x14ac:dyDescent="0.35">
      <c r="G775" s="31"/>
      <c r="H775" s="45"/>
    </row>
    <row r="776" spans="7:8" ht="14.25" customHeight="1" x14ac:dyDescent="0.35">
      <c r="G776" s="31"/>
      <c r="H776" s="45"/>
    </row>
    <row r="777" spans="7:8" ht="14.25" customHeight="1" x14ac:dyDescent="0.35">
      <c r="G777" s="31"/>
      <c r="H777" s="45"/>
    </row>
    <row r="778" spans="7:8" ht="14.25" customHeight="1" x14ac:dyDescent="0.35">
      <c r="G778" s="31"/>
      <c r="H778" s="45"/>
    </row>
    <row r="779" spans="7:8" ht="14.25" customHeight="1" x14ac:dyDescent="0.35">
      <c r="G779" s="31"/>
      <c r="H779" s="45"/>
    </row>
    <row r="780" spans="7:8" ht="14.25" customHeight="1" x14ac:dyDescent="0.35">
      <c r="G780" s="31"/>
      <c r="H780" s="45"/>
    </row>
    <row r="781" spans="7:8" ht="14.25" customHeight="1" x14ac:dyDescent="0.35">
      <c r="G781" s="31"/>
      <c r="H781" s="45"/>
    </row>
    <row r="782" spans="7:8" ht="14.25" customHeight="1" x14ac:dyDescent="0.35">
      <c r="G782" s="31"/>
      <c r="H782" s="45"/>
    </row>
    <row r="783" spans="7:8" ht="14.25" customHeight="1" x14ac:dyDescent="0.35">
      <c r="G783" s="31"/>
      <c r="H783" s="45"/>
    </row>
    <row r="784" spans="7:8" ht="14.25" customHeight="1" x14ac:dyDescent="0.35">
      <c r="G784" s="31"/>
      <c r="H784" s="45"/>
    </row>
    <row r="785" spans="7:8" ht="14.25" customHeight="1" x14ac:dyDescent="0.35">
      <c r="G785" s="31"/>
      <c r="H785" s="45"/>
    </row>
    <row r="786" spans="7:8" ht="14.25" customHeight="1" x14ac:dyDescent="0.35">
      <c r="G786" s="31"/>
      <c r="H786" s="45"/>
    </row>
    <row r="787" spans="7:8" ht="14.25" customHeight="1" x14ac:dyDescent="0.35">
      <c r="G787" s="31"/>
      <c r="H787" s="45"/>
    </row>
    <row r="788" spans="7:8" ht="14.25" customHeight="1" x14ac:dyDescent="0.35">
      <c r="G788" s="31"/>
      <c r="H788" s="45"/>
    </row>
    <row r="789" spans="7:8" ht="14.25" customHeight="1" x14ac:dyDescent="0.35">
      <c r="G789" s="31"/>
      <c r="H789" s="45"/>
    </row>
    <row r="790" spans="7:8" ht="14.25" customHeight="1" x14ac:dyDescent="0.35">
      <c r="G790" s="31"/>
      <c r="H790" s="45"/>
    </row>
    <row r="791" spans="7:8" ht="14.25" customHeight="1" x14ac:dyDescent="0.35">
      <c r="G791" s="31"/>
      <c r="H791" s="45"/>
    </row>
    <row r="792" spans="7:8" ht="14.25" customHeight="1" x14ac:dyDescent="0.35">
      <c r="G792" s="31"/>
      <c r="H792" s="45"/>
    </row>
    <row r="793" spans="7:8" ht="14.25" customHeight="1" x14ac:dyDescent="0.35">
      <c r="G793" s="31"/>
      <c r="H793" s="45"/>
    </row>
    <row r="794" spans="7:8" ht="14.25" customHeight="1" x14ac:dyDescent="0.35">
      <c r="G794" s="31"/>
      <c r="H794" s="45"/>
    </row>
    <row r="795" spans="7:8" ht="14.25" customHeight="1" x14ac:dyDescent="0.35">
      <c r="G795" s="31"/>
      <c r="H795" s="45"/>
    </row>
    <row r="796" spans="7:8" ht="14.25" customHeight="1" x14ac:dyDescent="0.35">
      <c r="G796" s="31"/>
      <c r="H796" s="45"/>
    </row>
    <row r="797" spans="7:8" ht="14.25" customHeight="1" x14ac:dyDescent="0.35">
      <c r="G797" s="31"/>
      <c r="H797" s="45"/>
    </row>
    <row r="798" spans="7:8" ht="14.25" customHeight="1" x14ac:dyDescent="0.35">
      <c r="G798" s="31"/>
      <c r="H798" s="45"/>
    </row>
    <row r="799" spans="7:8" ht="14.25" customHeight="1" x14ac:dyDescent="0.35">
      <c r="G799" s="31"/>
      <c r="H799" s="45"/>
    </row>
    <row r="800" spans="7:8" ht="14.25" customHeight="1" x14ac:dyDescent="0.35">
      <c r="G800" s="31"/>
      <c r="H800" s="45"/>
    </row>
    <row r="801" spans="7:8" ht="14.25" customHeight="1" x14ac:dyDescent="0.35">
      <c r="G801" s="31"/>
      <c r="H801" s="45"/>
    </row>
    <row r="802" spans="7:8" ht="14.25" customHeight="1" x14ac:dyDescent="0.35">
      <c r="G802" s="31"/>
      <c r="H802" s="45"/>
    </row>
    <row r="803" spans="7:8" ht="14.25" customHeight="1" x14ac:dyDescent="0.35">
      <c r="G803" s="31"/>
      <c r="H803" s="45"/>
    </row>
    <row r="804" spans="7:8" ht="14.25" customHeight="1" x14ac:dyDescent="0.35">
      <c r="G804" s="31"/>
      <c r="H804" s="45"/>
    </row>
    <row r="805" spans="7:8" ht="14.25" customHeight="1" x14ac:dyDescent="0.35">
      <c r="G805" s="31"/>
      <c r="H805" s="45"/>
    </row>
    <row r="806" spans="7:8" ht="14.25" customHeight="1" x14ac:dyDescent="0.35">
      <c r="G806" s="31"/>
      <c r="H806" s="45"/>
    </row>
    <row r="807" spans="7:8" ht="14.25" customHeight="1" x14ac:dyDescent="0.35">
      <c r="G807" s="31"/>
      <c r="H807" s="45"/>
    </row>
    <row r="808" spans="7:8" ht="14.25" customHeight="1" x14ac:dyDescent="0.35">
      <c r="G808" s="31"/>
      <c r="H808" s="45"/>
    </row>
    <row r="809" spans="7:8" ht="14.25" customHeight="1" x14ac:dyDescent="0.35">
      <c r="G809" s="31"/>
      <c r="H809" s="45"/>
    </row>
    <row r="810" spans="7:8" ht="14.25" customHeight="1" x14ac:dyDescent="0.35">
      <c r="G810" s="31"/>
      <c r="H810" s="45"/>
    </row>
    <row r="811" spans="7:8" ht="14.25" customHeight="1" x14ac:dyDescent="0.35">
      <c r="G811" s="31"/>
      <c r="H811" s="45"/>
    </row>
    <row r="812" spans="7:8" ht="14.25" customHeight="1" x14ac:dyDescent="0.35">
      <c r="G812" s="31"/>
      <c r="H812" s="45"/>
    </row>
    <row r="813" spans="7:8" ht="14.25" customHeight="1" x14ac:dyDescent="0.35">
      <c r="G813" s="31"/>
      <c r="H813" s="45"/>
    </row>
    <row r="814" spans="7:8" ht="14.25" customHeight="1" x14ac:dyDescent="0.35">
      <c r="G814" s="31"/>
      <c r="H814" s="45"/>
    </row>
    <row r="815" spans="7:8" ht="14.25" customHeight="1" x14ac:dyDescent="0.35">
      <c r="G815" s="31"/>
      <c r="H815" s="45"/>
    </row>
    <row r="816" spans="7:8" ht="14.25" customHeight="1" x14ac:dyDescent="0.35">
      <c r="G816" s="31"/>
      <c r="H816" s="45"/>
    </row>
    <row r="817" spans="7:8" ht="14.25" customHeight="1" x14ac:dyDescent="0.35">
      <c r="G817" s="31"/>
      <c r="H817" s="45"/>
    </row>
    <row r="818" spans="7:8" ht="14.25" customHeight="1" x14ac:dyDescent="0.35">
      <c r="G818" s="31"/>
      <c r="H818" s="45"/>
    </row>
    <row r="819" spans="7:8" ht="14.25" customHeight="1" x14ac:dyDescent="0.35">
      <c r="G819" s="31"/>
      <c r="H819" s="45"/>
    </row>
    <row r="820" spans="7:8" ht="14.25" customHeight="1" x14ac:dyDescent="0.35">
      <c r="G820" s="31"/>
      <c r="H820" s="45"/>
    </row>
    <row r="821" spans="7:8" ht="14.25" customHeight="1" x14ac:dyDescent="0.35">
      <c r="G821" s="31"/>
      <c r="H821" s="45"/>
    </row>
    <row r="822" spans="7:8" ht="14.25" customHeight="1" x14ac:dyDescent="0.35">
      <c r="G822" s="31"/>
      <c r="H822" s="45"/>
    </row>
    <row r="823" spans="7:8" ht="14.25" customHeight="1" x14ac:dyDescent="0.35">
      <c r="G823" s="31"/>
      <c r="H823" s="45"/>
    </row>
    <row r="824" spans="7:8" ht="14.25" customHeight="1" x14ac:dyDescent="0.35">
      <c r="G824" s="31"/>
      <c r="H824" s="45"/>
    </row>
    <row r="825" spans="7:8" ht="14.25" customHeight="1" x14ac:dyDescent="0.35">
      <c r="G825" s="31"/>
      <c r="H825" s="45"/>
    </row>
    <row r="826" spans="7:8" ht="14.25" customHeight="1" x14ac:dyDescent="0.35">
      <c r="G826" s="31"/>
      <c r="H826" s="45"/>
    </row>
    <row r="827" spans="7:8" ht="14.25" customHeight="1" x14ac:dyDescent="0.35">
      <c r="G827" s="31"/>
      <c r="H827" s="45"/>
    </row>
    <row r="828" spans="7:8" ht="14.25" customHeight="1" x14ac:dyDescent="0.35">
      <c r="G828" s="31"/>
      <c r="H828" s="45"/>
    </row>
    <row r="829" spans="7:8" ht="14.25" customHeight="1" x14ac:dyDescent="0.35">
      <c r="G829" s="31"/>
      <c r="H829" s="45"/>
    </row>
    <row r="830" spans="7:8" ht="14.25" customHeight="1" x14ac:dyDescent="0.35">
      <c r="G830" s="31"/>
      <c r="H830" s="45"/>
    </row>
    <row r="831" spans="7:8" ht="14.25" customHeight="1" x14ac:dyDescent="0.35">
      <c r="G831" s="31"/>
      <c r="H831" s="45"/>
    </row>
    <row r="832" spans="7:8" ht="14.25" customHeight="1" x14ac:dyDescent="0.35">
      <c r="G832" s="31"/>
      <c r="H832" s="45"/>
    </row>
    <row r="833" spans="7:8" ht="14.25" customHeight="1" x14ac:dyDescent="0.35">
      <c r="G833" s="31"/>
      <c r="H833" s="45"/>
    </row>
    <row r="834" spans="7:8" ht="14.25" customHeight="1" x14ac:dyDescent="0.35">
      <c r="G834" s="31"/>
      <c r="H834" s="45"/>
    </row>
    <row r="835" spans="7:8" ht="14.25" customHeight="1" x14ac:dyDescent="0.35">
      <c r="G835" s="31"/>
      <c r="H835" s="45"/>
    </row>
    <row r="836" spans="7:8" ht="14.25" customHeight="1" x14ac:dyDescent="0.35">
      <c r="G836" s="31"/>
      <c r="H836" s="45"/>
    </row>
    <row r="837" spans="7:8" ht="14.25" customHeight="1" x14ac:dyDescent="0.35">
      <c r="G837" s="31"/>
      <c r="H837" s="45"/>
    </row>
    <row r="838" spans="7:8" ht="14.25" customHeight="1" x14ac:dyDescent="0.35">
      <c r="G838" s="31"/>
      <c r="H838" s="45"/>
    </row>
    <row r="839" spans="7:8" ht="14.25" customHeight="1" x14ac:dyDescent="0.35">
      <c r="G839" s="31"/>
      <c r="H839" s="45"/>
    </row>
    <row r="840" spans="7:8" ht="14.25" customHeight="1" x14ac:dyDescent="0.35">
      <c r="G840" s="31"/>
      <c r="H840" s="45"/>
    </row>
    <row r="841" spans="7:8" ht="14.25" customHeight="1" x14ac:dyDescent="0.35">
      <c r="G841" s="31"/>
      <c r="H841" s="45"/>
    </row>
    <row r="842" spans="7:8" ht="14.25" customHeight="1" x14ac:dyDescent="0.35">
      <c r="G842" s="31"/>
      <c r="H842" s="45"/>
    </row>
    <row r="843" spans="7:8" ht="14.25" customHeight="1" x14ac:dyDescent="0.35">
      <c r="G843" s="31"/>
      <c r="H843" s="45"/>
    </row>
    <row r="844" spans="7:8" ht="14.25" customHeight="1" x14ac:dyDescent="0.35">
      <c r="G844" s="31"/>
      <c r="H844" s="45"/>
    </row>
    <row r="845" spans="7:8" ht="14.25" customHeight="1" x14ac:dyDescent="0.35">
      <c r="G845" s="31"/>
      <c r="H845" s="45"/>
    </row>
    <row r="846" spans="7:8" ht="14.25" customHeight="1" x14ac:dyDescent="0.35">
      <c r="G846" s="31"/>
      <c r="H846" s="45"/>
    </row>
    <row r="847" spans="7:8" ht="14.25" customHeight="1" x14ac:dyDescent="0.35">
      <c r="G847" s="31"/>
      <c r="H847" s="45"/>
    </row>
    <row r="848" spans="7:8" ht="14.25" customHeight="1" x14ac:dyDescent="0.35">
      <c r="G848" s="31"/>
      <c r="H848" s="45"/>
    </row>
    <row r="849" spans="7:8" ht="14.25" customHeight="1" x14ac:dyDescent="0.35">
      <c r="G849" s="31"/>
      <c r="H849" s="45"/>
    </row>
    <row r="850" spans="7:8" ht="14.25" customHeight="1" x14ac:dyDescent="0.35">
      <c r="G850" s="31"/>
      <c r="H850" s="45"/>
    </row>
    <row r="851" spans="7:8" ht="14.25" customHeight="1" x14ac:dyDescent="0.35">
      <c r="G851" s="31"/>
      <c r="H851" s="45"/>
    </row>
    <row r="852" spans="7:8" ht="14.25" customHeight="1" x14ac:dyDescent="0.35">
      <c r="G852" s="31"/>
      <c r="H852" s="45"/>
    </row>
    <row r="853" spans="7:8" ht="14.25" customHeight="1" x14ac:dyDescent="0.35">
      <c r="G853" s="31"/>
      <c r="H853" s="45"/>
    </row>
    <row r="854" spans="7:8" ht="14.25" customHeight="1" x14ac:dyDescent="0.35">
      <c r="G854" s="31"/>
      <c r="H854" s="45"/>
    </row>
    <row r="855" spans="7:8" ht="14.25" customHeight="1" x14ac:dyDescent="0.35">
      <c r="G855" s="31"/>
      <c r="H855" s="45"/>
    </row>
    <row r="856" spans="7:8" ht="14.25" customHeight="1" x14ac:dyDescent="0.35">
      <c r="G856" s="31"/>
      <c r="H856" s="45"/>
    </row>
    <row r="857" spans="7:8" ht="14.25" customHeight="1" x14ac:dyDescent="0.35">
      <c r="G857" s="31"/>
      <c r="H857" s="45"/>
    </row>
    <row r="858" spans="7:8" ht="14.25" customHeight="1" x14ac:dyDescent="0.35">
      <c r="G858" s="31"/>
      <c r="H858" s="45"/>
    </row>
    <row r="859" spans="7:8" ht="14.25" customHeight="1" x14ac:dyDescent="0.35">
      <c r="G859" s="31"/>
      <c r="H859" s="45"/>
    </row>
    <row r="860" spans="7:8" ht="14.25" customHeight="1" x14ac:dyDescent="0.35">
      <c r="G860" s="31"/>
      <c r="H860" s="45"/>
    </row>
    <row r="861" spans="7:8" ht="14.25" customHeight="1" x14ac:dyDescent="0.35">
      <c r="G861" s="31"/>
      <c r="H861" s="45"/>
    </row>
    <row r="862" spans="7:8" ht="14.25" customHeight="1" x14ac:dyDescent="0.35">
      <c r="G862" s="31"/>
      <c r="H862" s="45"/>
    </row>
    <row r="863" spans="7:8" ht="14.25" customHeight="1" x14ac:dyDescent="0.35">
      <c r="G863" s="31"/>
      <c r="H863" s="45"/>
    </row>
    <row r="864" spans="7:8" ht="14.25" customHeight="1" x14ac:dyDescent="0.35">
      <c r="G864" s="31"/>
      <c r="H864" s="45"/>
    </row>
    <row r="865" spans="7:8" ht="14.25" customHeight="1" x14ac:dyDescent="0.35">
      <c r="G865" s="31"/>
      <c r="H865" s="45"/>
    </row>
    <row r="866" spans="7:8" ht="14.25" customHeight="1" x14ac:dyDescent="0.35">
      <c r="G866" s="31"/>
      <c r="H866" s="45"/>
    </row>
    <row r="867" spans="7:8" ht="14.25" customHeight="1" x14ac:dyDescent="0.35">
      <c r="G867" s="31"/>
      <c r="H867" s="45"/>
    </row>
    <row r="868" spans="7:8" ht="14.25" customHeight="1" x14ac:dyDescent="0.35">
      <c r="G868" s="31"/>
      <c r="H868" s="45"/>
    </row>
    <row r="869" spans="7:8" ht="14.25" customHeight="1" x14ac:dyDescent="0.35">
      <c r="G869" s="31"/>
      <c r="H869" s="45"/>
    </row>
    <row r="870" spans="7:8" ht="14.25" customHeight="1" x14ac:dyDescent="0.35">
      <c r="G870" s="31"/>
      <c r="H870" s="45"/>
    </row>
    <row r="871" spans="7:8" ht="14.25" customHeight="1" x14ac:dyDescent="0.35">
      <c r="G871" s="31"/>
      <c r="H871" s="45"/>
    </row>
    <row r="872" spans="7:8" ht="14.25" customHeight="1" x14ac:dyDescent="0.35">
      <c r="G872" s="31"/>
      <c r="H872" s="45"/>
    </row>
    <row r="873" spans="7:8" ht="14.25" customHeight="1" x14ac:dyDescent="0.35">
      <c r="G873" s="31"/>
      <c r="H873" s="45"/>
    </row>
    <row r="874" spans="7:8" ht="14.25" customHeight="1" x14ac:dyDescent="0.35">
      <c r="G874" s="31"/>
      <c r="H874" s="45"/>
    </row>
    <row r="875" spans="7:8" ht="14.25" customHeight="1" x14ac:dyDescent="0.35">
      <c r="G875" s="31"/>
      <c r="H875" s="45"/>
    </row>
    <row r="876" spans="7:8" ht="14.25" customHeight="1" x14ac:dyDescent="0.35">
      <c r="G876" s="31"/>
      <c r="H876" s="45"/>
    </row>
    <row r="877" spans="7:8" ht="14.25" customHeight="1" x14ac:dyDescent="0.35">
      <c r="G877" s="31"/>
      <c r="H877" s="45"/>
    </row>
    <row r="878" spans="7:8" ht="14.25" customHeight="1" x14ac:dyDescent="0.35">
      <c r="G878" s="31"/>
      <c r="H878" s="45"/>
    </row>
    <row r="879" spans="7:8" ht="14.25" customHeight="1" x14ac:dyDescent="0.35">
      <c r="G879" s="31"/>
      <c r="H879" s="45"/>
    </row>
    <row r="880" spans="7:8" ht="14.25" customHeight="1" x14ac:dyDescent="0.35">
      <c r="G880" s="31"/>
      <c r="H880" s="45"/>
    </row>
    <row r="881" spans="7:8" ht="14.25" customHeight="1" x14ac:dyDescent="0.35">
      <c r="G881" s="31"/>
      <c r="H881" s="45"/>
    </row>
    <row r="882" spans="7:8" ht="14.25" customHeight="1" x14ac:dyDescent="0.35">
      <c r="G882" s="31"/>
      <c r="H882" s="45"/>
    </row>
    <row r="883" spans="7:8" ht="14.25" customHeight="1" x14ac:dyDescent="0.35">
      <c r="G883" s="31"/>
      <c r="H883" s="45"/>
    </row>
    <row r="884" spans="7:8" ht="14.25" customHeight="1" x14ac:dyDescent="0.35">
      <c r="G884" s="31"/>
      <c r="H884" s="45"/>
    </row>
    <row r="885" spans="7:8" ht="14.25" customHeight="1" x14ac:dyDescent="0.35">
      <c r="G885" s="31"/>
      <c r="H885" s="45"/>
    </row>
    <row r="886" spans="7:8" ht="14.25" customHeight="1" x14ac:dyDescent="0.35">
      <c r="G886" s="31"/>
      <c r="H886" s="45"/>
    </row>
    <row r="887" spans="7:8" ht="14.25" customHeight="1" x14ac:dyDescent="0.35">
      <c r="G887" s="31"/>
      <c r="H887" s="45"/>
    </row>
    <row r="888" spans="7:8" ht="14.25" customHeight="1" x14ac:dyDescent="0.35">
      <c r="G888" s="31"/>
      <c r="H888" s="45"/>
    </row>
    <row r="889" spans="7:8" ht="14.25" customHeight="1" x14ac:dyDescent="0.35">
      <c r="G889" s="31"/>
      <c r="H889" s="45"/>
    </row>
    <row r="890" spans="7:8" ht="14.25" customHeight="1" x14ac:dyDescent="0.35">
      <c r="G890" s="31"/>
      <c r="H890" s="45"/>
    </row>
    <row r="891" spans="7:8" ht="14.25" customHeight="1" x14ac:dyDescent="0.35">
      <c r="G891" s="31"/>
      <c r="H891" s="45"/>
    </row>
    <row r="892" spans="7:8" ht="14.25" customHeight="1" x14ac:dyDescent="0.35">
      <c r="G892" s="31"/>
      <c r="H892" s="45"/>
    </row>
    <row r="893" spans="7:8" ht="14.25" customHeight="1" x14ac:dyDescent="0.35">
      <c r="G893" s="31"/>
      <c r="H893" s="45"/>
    </row>
    <row r="894" spans="7:8" ht="14.25" customHeight="1" x14ac:dyDescent="0.35">
      <c r="G894" s="31"/>
      <c r="H894" s="45"/>
    </row>
    <row r="895" spans="7:8" ht="14.25" customHeight="1" x14ac:dyDescent="0.35">
      <c r="G895" s="31"/>
      <c r="H895" s="45"/>
    </row>
    <row r="896" spans="7:8" ht="14.25" customHeight="1" x14ac:dyDescent="0.35">
      <c r="G896" s="31"/>
      <c r="H896" s="45"/>
    </row>
    <row r="897" spans="7:8" ht="14.25" customHeight="1" x14ac:dyDescent="0.35">
      <c r="G897" s="31"/>
      <c r="H897" s="45"/>
    </row>
    <row r="898" spans="7:8" ht="14.25" customHeight="1" x14ac:dyDescent="0.35">
      <c r="G898" s="31"/>
      <c r="H898" s="45"/>
    </row>
    <row r="899" spans="7:8" ht="14.25" customHeight="1" x14ac:dyDescent="0.35">
      <c r="G899" s="31"/>
      <c r="H899" s="45"/>
    </row>
    <row r="900" spans="7:8" ht="14.25" customHeight="1" x14ac:dyDescent="0.35">
      <c r="G900" s="31"/>
      <c r="H900" s="45"/>
    </row>
    <row r="901" spans="7:8" ht="14.25" customHeight="1" x14ac:dyDescent="0.35">
      <c r="G901" s="31"/>
      <c r="H901" s="45"/>
    </row>
    <row r="902" spans="7:8" ht="14.25" customHeight="1" x14ac:dyDescent="0.35">
      <c r="G902" s="31"/>
      <c r="H902" s="45"/>
    </row>
    <row r="903" spans="7:8" ht="14.25" customHeight="1" x14ac:dyDescent="0.35">
      <c r="G903" s="31"/>
      <c r="H903" s="45"/>
    </row>
    <row r="904" spans="7:8" ht="14.25" customHeight="1" x14ac:dyDescent="0.35">
      <c r="G904" s="31"/>
      <c r="H904" s="45"/>
    </row>
    <row r="905" spans="7:8" ht="14.25" customHeight="1" x14ac:dyDescent="0.35">
      <c r="G905" s="31"/>
      <c r="H905" s="45"/>
    </row>
    <row r="906" spans="7:8" ht="14.25" customHeight="1" x14ac:dyDescent="0.35">
      <c r="G906" s="31"/>
      <c r="H906" s="45"/>
    </row>
    <row r="907" spans="7:8" ht="14.25" customHeight="1" x14ac:dyDescent="0.35">
      <c r="G907" s="31"/>
      <c r="H907" s="45"/>
    </row>
    <row r="908" spans="7:8" ht="14.25" customHeight="1" x14ac:dyDescent="0.35">
      <c r="G908" s="31"/>
      <c r="H908" s="45"/>
    </row>
    <row r="909" spans="7:8" ht="14.25" customHeight="1" x14ac:dyDescent="0.35">
      <c r="G909" s="31"/>
      <c r="H909" s="45"/>
    </row>
    <row r="910" spans="7:8" ht="14.25" customHeight="1" x14ac:dyDescent="0.35">
      <c r="G910" s="31"/>
      <c r="H910" s="45"/>
    </row>
    <row r="911" spans="7:8" ht="14.25" customHeight="1" x14ac:dyDescent="0.35">
      <c r="G911" s="31"/>
      <c r="H911" s="45"/>
    </row>
    <row r="912" spans="7:8" ht="14.25" customHeight="1" x14ac:dyDescent="0.35">
      <c r="G912" s="31"/>
      <c r="H912" s="45"/>
    </row>
    <row r="913" spans="7:8" ht="14.25" customHeight="1" x14ac:dyDescent="0.35">
      <c r="G913" s="31"/>
      <c r="H913" s="45"/>
    </row>
    <row r="914" spans="7:8" ht="14.25" customHeight="1" x14ac:dyDescent="0.35">
      <c r="G914" s="31"/>
      <c r="H914" s="45"/>
    </row>
    <row r="915" spans="7:8" ht="14.25" customHeight="1" x14ac:dyDescent="0.35">
      <c r="G915" s="31"/>
      <c r="H915" s="45"/>
    </row>
    <row r="916" spans="7:8" ht="14.25" customHeight="1" x14ac:dyDescent="0.35">
      <c r="G916" s="31"/>
      <c r="H916" s="45"/>
    </row>
    <row r="917" spans="7:8" ht="14.25" customHeight="1" x14ac:dyDescent="0.35">
      <c r="G917" s="31"/>
      <c r="H917" s="45"/>
    </row>
    <row r="918" spans="7:8" ht="14.25" customHeight="1" x14ac:dyDescent="0.35">
      <c r="G918" s="31"/>
      <c r="H918" s="45"/>
    </row>
    <row r="919" spans="7:8" ht="14.25" customHeight="1" x14ac:dyDescent="0.35">
      <c r="G919" s="31"/>
      <c r="H919" s="45"/>
    </row>
    <row r="920" spans="7:8" ht="14.25" customHeight="1" x14ac:dyDescent="0.35">
      <c r="G920" s="31"/>
      <c r="H920" s="45"/>
    </row>
    <row r="921" spans="7:8" ht="14.25" customHeight="1" x14ac:dyDescent="0.35">
      <c r="G921" s="31"/>
      <c r="H921" s="45"/>
    </row>
    <row r="922" spans="7:8" ht="14.25" customHeight="1" x14ac:dyDescent="0.35">
      <c r="G922" s="31"/>
      <c r="H922" s="45"/>
    </row>
    <row r="923" spans="7:8" ht="14.25" customHeight="1" x14ac:dyDescent="0.35">
      <c r="G923" s="31"/>
      <c r="H923" s="45"/>
    </row>
    <row r="924" spans="7:8" ht="14.25" customHeight="1" x14ac:dyDescent="0.35">
      <c r="G924" s="31"/>
      <c r="H924" s="45"/>
    </row>
    <row r="925" spans="7:8" ht="14.25" customHeight="1" x14ac:dyDescent="0.35">
      <c r="G925" s="31"/>
      <c r="H925" s="45"/>
    </row>
    <row r="926" spans="7:8" ht="14.25" customHeight="1" x14ac:dyDescent="0.35">
      <c r="G926" s="31"/>
      <c r="H926" s="45"/>
    </row>
    <row r="927" spans="7:8" ht="14.25" customHeight="1" x14ac:dyDescent="0.35">
      <c r="G927" s="31"/>
      <c r="H927" s="45"/>
    </row>
    <row r="928" spans="7:8" ht="14.25" customHeight="1" x14ac:dyDescent="0.35">
      <c r="G928" s="31"/>
      <c r="H928" s="45"/>
    </row>
    <row r="929" spans="7:8" ht="14.25" customHeight="1" x14ac:dyDescent="0.35">
      <c r="G929" s="31"/>
      <c r="H929" s="45"/>
    </row>
    <row r="930" spans="7:8" ht="14.25" customHeight="1" x14ac:dyDescent="0.35">
      <c r="G930" s="31"/>
      <c r="H930" s="45"/>
    </row>
    <row r="931" spans="7:8" ht="14.25" customHeight="1" x14ac:dyDescent="0.35">
      <c r="G931" s="31"/>
      <c r="H931" s="45"/>
    </row>
    <row r="932" spans="7:8" ht="14.25" customHeight="1" x14ac:dyDescent="0.35">
      <c r="G932" s="31"/>
      <c r="H932" s="45"/>
    </row>
    <row r="933" spans="7:8" ht="14.25" customHeight="1" x14ac:dyDescent="0.35">
      <c r="G933" s="31"/>
      <c r="H933" s="45"/>
    </row>
    <row r="934" spans="7:8" ht="14.25" customHeight="1" x14ac:dyDescent="0.35">
      <c r="G934" s="31"/>
      <c r="H934" s="45"/>
    </row>
    <row r="935" spans="7:8" ht="14.25" customHeight="1" x14ac:dyDescent="0.35">
      <c r="G935" s="31"/>
      <c r="H935" s="45"/>
    </row>
    <row r="936" spans="7:8" ht="14.25" customHeight="1" x14ac:dyDescent="0.35">
      <c r="G936" s="31"/>
      <c r="H936" s="45"/>
    </row>
    <row r="937" spans="7:8" ht="14.25" customHeight="1" x14ac:dyDescent="0.35">
      <c r="G937" s="31"/>
      <c r="H937" s="45"/>
    </row>
    <row r="938" spans="7:8" ht="14.25" customHeight="1" x14ac:dyDescent="0.35">
      <c r="G938" s="31"/>
      <c r="H938" s="45"/>
    </row>
    <row r="939" spans="7:8" ht="14.25" customHeight="1" x14ac:dyDescent="0.35">
      <c r="G939" s="31"/>
      <c r="H939" s="45"/>
    </row>
    <row r="940" spans="7:8" ht="14.25" customHeight="1" x14ac:dyDescent="0.35">
      <c r="G940" s="31"/>
      <c r="H940" s="45"/>
    </row>
    <row r="941" spans="7:8" ht="14.25" customHeight="1" x14ac:dyDescent="0.35">
      <c r="G941" s="31"/>
      <c r="H941" s="45"/>
    </row>
    <row r="942" spans="7:8" ht="14.25" customHeight="1" x14ac:dyDescent="0.35">
      <c r="G942" s="31"/>
      <c r="H942" s="45"/>
    </row>
    <row r="943" spans="7:8" ht="14.25" customHeight="1" x14ac:dyDescent="0.35">
      <c r="G943" s="31"/>
      <c r="H943" s="45"/>
    </row>
    <row r="944" spans="7:8" ht="14.25" customHeight="1" x14ac:dyDescent="0.35">
      <c r="G944" s="31"/>
      <c r="H944" s="45"/>
    </row>
    <row r="945" spans="7:8" ht="14.25" customHeight="1" x14ac:dyDescent="0.35">
      <c r="G945" s="31"/>
      <c r="H945" s="45"/>
    </row>
    <row r="946" spans="7:8" ht="14.25" customHeight="1" x14ac:dyDescent="0.35">
      <c r="G946" s="31"/>
      <c r="H946" s="45"/>
    </row>
    <row r="947" spans="7:8" ht="14.25" customHeight="1" x14ac:dyDescent="0.35">
      <c r="G947" s="31"/>
      <c r="H947" s="45"/>
    </row>
    <row r="948" spans="7:8" ht="14.25" customHeight="1" x14ac:dyDescent="0.35">
      <c r="G948" s="31"/>
      <c r="H948" s="45"/>
    </row>
    <row r="949" spans="7:8" ht="14.25" customHeight="1" x14ac:dyDescent="0.35">
      <c r="G949" s="31"/>
      <c r="H949" s="45"/>
    </row>
    <row r="950" spans="7:8" ht="14.25" customHeight="1" x14ac:dyDescent="0.35">
      <c r="G950" s="31"/>
      <c r="H950" s="45"/>
    </row>
    <row r="951" spans="7:8" ht="14.25" customHeight="1" x14ac:dyDescent="0.35">
      <c r="G951" s="31"/>
      <c r="H951" s="45"/>
    </row>
    <row r="952" spans="7:8" ht="15" customHeight="1" x14ac:dyDescent="0.35"/>
    <row r="953" spans="7:8" ht="15" customHeight="1" x14ac:dyDescent="0.35"/>
  </sheetData>
  <conditionalFormatting sqref="J447:J6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Senthilraja</dc:creator>
  <cp:lastModifiedBy>Senthilraja</cp:lastModifiedBy>
  <dcterms:created xsi:type="dcterms:W3CDTF">2026-06-10T08:04:21Z</dcterms:created>
  <dcterms:modified xsi:type="dcterms:W3CDTF">2026-06-10T08:05:16Z</dcterms:modified>
</cp:coreProperties>
</file>